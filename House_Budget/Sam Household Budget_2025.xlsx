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5"/>
    <sheet state="visible" name="Feb" sheetId="2" r:id="rId6"/>
    <sheet state="visible" name="Mar" sheetId="3" r:id="rId7"/>
    <sheet state="visible" name="Apr" sheetId="4" r:id="rId8"/>
    <sheet state="visible" name="May" sheetId="5" r:id="rId9"/>
    <sheet state="visible" name="Jun" sheetId="6" r:id="rId10"/>
    <sheet state="visible" name="Jul" sheetId="7" r:id="rId11"/>
    <sheet state="visible" name="Aug" sheetId="8" r:id="rId12"/>
    <sheet state="visible" name="Sep" sheetId="9" r:id="rId13"/>
    <sheet state="visible" name="Oct" sheetId="10" r:id="rId14"/>
    <sheet state="visible" name="Nov" sheetId="11" r:id="rId15"/>
    <sheet state="visible" name="Dec" sheetId="12" r:id="rId16"/>
  </sheets>
  <definedNames/>
  <calcPr/>
</workbook>
</file>

<file path=xl/sharedStrings.xml><?xml version="1.0" encoding="utf-8"?>
<sst xmlns="http://schemas.openxmlformats.org/spreadsheetml/2006/main" count="3333" uniqueCount="333">
  <si>
    <t>Date</t>
  </si>
  <si>
    <t>Category</t>
  </si>
  <si>
    <t>Item</t>
  </si>
  <si>
    <t>Amount</t>
  </si>
  <si>
    <t>Currency</t>
  </si>
  <si>
    <t>Who</t>
  </si>
  <si>
    <t>第 1 欄</t>
  </si>
  <si>
    <t>第 2 欄</t>
  </si>
  <si>
    <t>第 3 欄</t>
  </si>
  <si>
    <t>第 4 欄</t>
  </si>
  <si>
    <t>第 5 欄</t>
  </si>
  <si>
    <t>Income</t>
  </si>
  <si>
    <t>Sam Income</t>
  </si>
  <si>
    <t>TWD</t>
  </si>
  <si>
    <t>阿Sam</t>
  </si>
  <si>
    <t>Rita Income</t>
  </si>
  <si>
    <t>cynical Tsai</t>
  </si>
  <si>
    <t>Others</t>
  </si>
  <si>
    <t>Rent house</t>
  </si>
  <si>
    <t>管理費</t>
  </si>
  <si>
    <t>ChatGPT</t>
  </si>
  <si>
    <t>Youtube</t>
  </si>
  <si>
    <t>Food</t>
  </si>
  <si>
    <t>麥味登</t>
  </si>
  <si>
    <t>大潤發</t>
  </si>
  <si>
    <t>Tsukiya</t>
  </si>
  <si>
    <t>Hospital</t>
  </si>
  <si>
    <t>全聯</t>
  </si>
  <si>
    <t>Refound</t>
  </si>
  <si>
    <t>Costco</t>
  </si>
  <si>
    <t>Trasportation</t>
  </si>
  <si>
    <t>Parking</t>
  </si>
  <si>
    <t>Shopping</t>
  </si>
  <si>
    <t>瓦斯</t>
  </si>
  <si>
    <t>水費</t>
  </si>
  <si>
    <t>Lunch - Costco</t>
  </si>
  <si>
    <t>健保費</t>
  </si>
  <si>
    <t>Breakfast</t>
  </si>
  <si>
    <t xml:space="preserve">Lunch </t>
  </si>
  <si>
    <t>豬肚雞湯</t>
  </si>
  <si>
    <t>Lunch</t>
  </si>
  <si>
    <t>Haohao coffee</t>
  </si>
  <si>
    <t>McDonald's</t>
  </si>
  <si>
    <t>egg</t>
  </si>
  <si>
    <t>Family</t>
  </si>
  <si>
    <t>小寶預防針</t>
  </si>
  <si>
    <t>丸龜</t>
  </si>
  <si>
    <t xml:space="preserve"> Costco</t>
  </si>
  <si>
    <t>小寶牙醫</t>
  </si>
  <si>
    <t>KFC</t>
  </si>
  <si>
    <t xml:space="preserve">Entertainment </t>
  </si>
  <si>
    <t>ZOO</t>
  </si>
  <si>
    <t>玉米</t>
  </si>
  <si>
    <t>五金</t>
  </si>
  <si>
    <t>yamasaki</t>
  </si>
  <si>
    <t>YAMAZAKI</t>
  </si>
  <si>
    <t>SUKIYA</t>
  </si>
  <si>
    <t>麵線</t>
  </si>
  <si>
    <t>Accommdation</t>
  </si>
  <si>
    <t>Column 12</t>
  </si>
  <si>
    <t>仙台牛舌</t>
  </si>
  <si>
    <t>Yen</t>
  </si>
  <si>
    <t>Sendai</t>
  </si>
  <si>
    <t>Lopia</t>
  </si>
  <si>
    <t>Standard</t>
  </si>
  <si>
    <t>Gift</t>
  </si>
  <si>
    <t>Dinner</t>
  </si>
  <si>
    <t xml:space="preserve">Sendai ANA Hotel </t>
  </si>
  <si>
    <t>Car rental</t>
  </si>
  <si>
    <t>Daiso</t>
  </si>
  <si>
    <t>Highway</t>
  </si>
  <si>
    <t>Zoe accommdation</t>
  </si>
  <si>
    <t>Super market</t>
  </si>
  <si>
    <t>Desert</t>
  </si>
  <si>
    <t>AEON</t>
  </si>
  <si>
    <t>食品雜貨（Fresco Kikuchi 蔵王店）</t>
  </si>
  <si>
    <t>Family mart</t>
  </si>
  <si>
    <t>餐飲（TAMAGO-YA 蛋糕布丁）</t>
  </si>
  <si>
    <t>高速公路通行費（NEXCO 山形藏王）</t>
  </si>
  <si>
    <t>餐飲（SUKIYA 山形城西店）</t>
  </si>
  <si>
    <t>高速公路通行費（NEXCO）</t>
  </si>
  <si>
    <t>飲品（晴れ風 500ml）</t>
  </si>
  <si>
    <t>Fukukawa</t>
  </si>
  <si>
    <t>購物（AEON MALL 名取）</t>
  </si>
  <si>
    <t>購物袋（Standard Products）</t>
  </si>
  <si>
    <t>餐飲（AEON STYLE 便當）</t>
  </si>
  <si>
    <t>加油費（Usami 加油站）</t>
  </si>
  <si>
    <t>餐飲（Daily Yamazaki 便利商店）</t>
  </si>
  <si>
    <t>住宿費（Bresson First Hotel）</t>
  </si>
  <si>
    <t>餐飲（7-Eleven 啤酒）</t>
  </si>
  <si>
    <t>餐飲（BEERHOLIC 飲酒餐點）</t>
  </si>
  <si>
    <t>購物（HAWKS STORE HOME）</t>
  </si>
  <si>
    <t>餐飲（McDonald's 小薯）</t>
  </si>
  <si>
    <t>餐飲（Ichiran 拉麵 總本店）</t>
  </si>
  <si>
    <t>餐飲（KRAZY MEAT 啤酒與炸雞）</t>
  </si>
  <si>
    <t>COSTCO Hsinchu Store</t>
  </si>
  <si>
    <t>全聯小時達</t>
  </si>
  <si>
    <t>Hsinchu City</t>
  </si>
  <si>
    <t>瓦斯費</t>
  </si>
  <si>
    <t>The Farm Shack</t>
  </si>
  <si>
    <t>義民路二段530巷173號</t>
  </si>
  <si>
    <t>Car wash</t>
  </si>
  <si>
    <t>麥味登 Cafe &amp; Brunch</t>
  </si>
  <si>
    <t>城市車旅 CITY PARKING</t>
  </si>
  <si>
    <t>MOS BURGER</t>
  </si>
  <si>
    <t>MUJI 無印良品</t>
  </si>
  <si>
    <t>澳洲罰單</t>
  </si>
  <si>
    <t>麥味登_新竹武陵店</t>
  </si>
  <si>
    <t>全家便利商店</t>
  </si>
  <si>
    <t>統一超商</t>
  </si>
  <si>
    <t>大潤發 RT-MART</t>
  </si>
  <si>
    <t>すき家 Sukiya 新竹浦雅店</t>
  </si>
  <si>
    <t>崇華幼稚園</t>
  </si>
  <si>
    <t>麥當勞 新竹經國店</t>
  </si>
  <si>
    <t>新竹市政府 果菜市場停車場</t>
  </si>
  <si>
    <t>比斯吉早餐店（交通大學）</t>
  </si>
  <si>
    <t>國立陽明交通大學</t>
  </si>
  <si>
    <t>統一</t>
  </si>
  <si>
    <t>Where</t>
  </si>
  <si>
    <t>統一超商 新竹經國門市</t>
  </si>
  <si>
    <t>國賓停車</t>
  </si>
  <si>
    <t>木柵動物園</t>
  </si>
  <si>
    <t>youtube</t>
  </si>
  <si>
    <t>Hi life mart</t>
  </si>
  <si>
    <t>House rent</t>
  </si>
  <si>
    <t>Google youtube</t>
  </si>
  <si>
    <t>大潤發蘭雅店</t>
  </si>
  <si>
    <t>好好吃</t>
  </si>
  <si>
    <t>Costco Wholesale</t>
  </si>
  <si>
    <t>富邦卡交易</t>
  </si>
  <si>
    <t>台灣小米通訊有限公司</t>
  </si>
  <si>
    <t>大魯閣南雅廣場</t>
  </si>
  <si>
    <t>路易莎新竹武陵店</t>
  </si>
  <si>
    <t>電費</t>
  </si>
  <si>
    <t>海屋Cafe</t>
  </si>
  <si>
    <t>大潤發忠孝店</t>
  </si>
  <si>
    <t>大潤發新竹忠孝店</t>
  </si>
  <si>
    <t xml:space="preserve"> 擦拭用酒精</t>
  </si>
  <si>
    <t>台中住宿</t>
  </si>
  <si>
    <t>Beer</t>
  </si>
  <si>
    <t>Sukiya</t>
  </si>
  <si>
    <t>CAMA</t>
  </si>
  <si>
    <t>Decathlon</t>
  </si>
  <si>
    <t>CAMA coffee</t>
  </si>
  <si>
    <t xml:space="preserve">MCDONALD'S </t>
  </si>
  <si>
    <t>科學博物館</t>
  </si>
  <si>
    <t>MOMORI Cafe and Bar</t>
  </si>
  <si>
    <t>Starbucks</t>
  </si>
  <si>
    <t>IKEA</t>
  </si>
  <si>
    <t>LOPIA</t>
  </si>
  <si>
    <t>迪卡農</t>
  </si>
  <si>
    <t xml:space="preserve"> </t>
  </si>
  <si>
    <t>金色三麥</t>
  </si>
  <si>
    <t>6/30-7/3 HKD (1/2)</t>
  </si>
  <si>
    <t>7/4-6 高雄 (1/2)</t>
  </si>
  <si>
    <t>麥當勞</t>
  </si>
  <si>
    <t>慢慢飛</t>
  </si>
  <si>
    <t>6/25-30 Sapporo (1/2)</t>
  </si>
  <si>
    <t>yAMASAKY</t>
  </si>
  <si>
    <t>房租</t>
  </si>
  <si>
    <t>Bread</t>
  </si>
  <si>
    <t>瑞士小屋</t>
  </si>
  <si>
    <t>美聯社</t>
  </si>
  <si>
    <t>魚酥 鐵蛋</t>
  </si>
  <si>
    <t>剉冰</t>
  </si>
  <si>
    <t>Mcdonald</t>
  </si>
  <si>
    <t>萊爾富</t>
  </si>
  <si>
    <t>Saporro住宿</t>
  </si>
  <si>
    <t xml:space="preserve">parking </t>
  </si>
  <si>
    <t>家樂福</t>
  </si>
  <si>
    <t>Egg</t>
  </si>
  <si>
    <t>年度所得稅</t>
  </si>
  <si>
    <t>Gathering with Friend</t>
  </si>
  <si>
    <t>關西服務區</t>
  </si>
  <si>
    <t>cynical07@gmail.com</t>
  </si>
  <si>
    <t>租車，附加雜項</t>
  </si>
  <si>
    <t>北海道</t>
  </si>
  <si>
    <t>羽田空港</t>
  </si>
  <si>
    <t>大創</t>
  </si>
  <si>
    <t>海鮮迴轉壽司</t>
  </si>
  <si>
    <t>小樽海生館門票</t>
  </si>
  <si>
    <t>TRIAL</t>
  </si>
  <si>
    <t xml:space="preserve">🅿 </t>
  </si>
  <si>
    <t xml:space="preserve">🚇 </t>
  </si>
  <si>
    <t>Fighter</t>
  </si>
  <si>
    <t>Seicomart</t>
  </si>
  <si>
    <t>唐琪柯德</t>
  </si>
  <si>
    <t>Seria</t>
  </si>
  <si>
    <t>Super ARCS</t>
  </si>
  <si>
    <t>Zoo</t>
  </si>
  <si>
    <t>洞爺湖</t>
  </si>
  <si>
    <t>洞爺湖 Ice cream</t>
  </si>
  <si>
    <t>.</t>
  </si>
  <si>
    <t>MEGA</t>
  </si>
  <si>
    <t>Lotteria</t>
  </si>
  <si>
    <t>Petrol</t>
  </si>
  <si>
    <t>Dinner with Friend</t>
  </si>
  <si>
    <t xml:space="preserve">Dinner </t>
  </si>
  <si>
    <t>Tsutaya</t>
  </si>
  <si>
    <t>Petral</t>
  </si>
  <si>
    <t>Osako rental car - TOYOTA</t>
  </si>
  <si>
    <t>大沼公園</t>
  </si>
  <si>
    <t>OMO Beer Bar</t>
  </si>
  <si>
    <t>High way</t>
  </si>
  <si>
    <t>Osaka</t>
  </si>
  <si>
    <t>Lawson</t>
  </si>
  <si>
    <t>今年貴庚</t>
  </si>
  <si>
    <t>Gobal mall</t>
  </si>
  <si>
    <t>方師父</t>
  </si>
  <si>
    <t>Taxi</t>
  </si>
  <si>
    <t>台鐵便當</t>
  </si>
  <si>
    <t>Family Mart</t>
  </si>
  <si>
    <t>鼎王</t>
  </si>
  <si>
    <t>Hi Li Mart</t>
  </si>
  <si>
    <t>CO2</t>
  </si>
  <si>
    <t>大眾小吃</t>
  </si>
  <si>
    <t>Speak AI</t>
  </si>
  <si>
    <t>Mcdonald's</t>
  </si>
  <si>
    <t>Hi Life</t>
  </si>
  <si>
    <t>Csotco</t>
  </si>
  <si>
    <t>預防針</t>
  </si>
  <si>
    <t>YOUTUBE</t>
  </si>
  <si>
    <t>大魯閣</t>
  </si>
  <si>
    <t>驗孕</t>
  </si>
  <si>
    <t>綠世界</t>
  </si>
  <si>
    <t>米寶街海鮮麵</t>
  </si>
  <si>
    <t>Familymart</t>
  </si>
  <si>
    <t>costCo</t>
  </si>
  <si>
    <t>水餃</t>
  </si>
  <si>
    <t>台大</t>
  </si>
  <si>
    <t>pizza</t>
  </si>
  <si>
    <t>魯味</t>
  </si>
  <si>
    <t>吾點拌</t>
  </si>
  <si>
    <t>勝利鴨</t>
  </si>
  <si>
    <t>台大醫院</t>
  </si>
  <si>
    <t>沙time</t>
  </si>
  <si>
    <t>藍印子</t>
  </si>
  <si>
    <t>rice ball</t>
  </si>
  <si>
    <t>樂天棒球場</t>
  </si>
  <si>
    <t>Gift 樂天棒球場</t>
  </si>
  <si>
    <t>孟格爾</t>
  </si>
  <si>
    <t>小米風扇</t>
  </si>
  <si>
    <t>ICE CREAM</t>
  </si>
  <si>
    <t>costco</t>
  </si>
  <si>
    <t>11/1~3 Check inn住宿</t>
  </si>
  <si>
    <t>family Mart</t>
  </si>
  <si>
    <t>晨心診所</t>
  </si>
  <si>
    <t>中大水餃</t>
  </si>
  <si>
    <t>摩斯漢堡</t>
  </si>
  <si>
    <t>大全聯</t>
  </si>
  <si>
    <t>Shipping and assembly</t>
  </si>
  <si>
    <t>竹北台大</t>
  </si>
  <si>
    <t>核桃蝸牛</t>
  </si>
  <si>
    <t>Mos Burger</t>
  </si>
  <si>
    <t>四海遊龍</t>
  </si>
  <si>
    <t>Internet</t>
  </si>
  <si>
    <t>金麥田</t>
  </si>
  <si>
    <t>Poya</t>
  </si>
  <si>
    <t>Shopee</t>
  </si>
  <si>
    <t>jam 生菜沙拉</t>
  </si>
  <si>
    <t>小寶幼稚園</t>
  </si>
  <si>
    <t>Mcdonld</t>
  </si>
  <si>
    <t>Fish n Chips</t>
  </si>
  <si>
    <t>pARKING</t>
  </si>
  <si>
    <t>Buger</t>
  </si>
  <si>
    <t>雞蛋燒</t>
  </si>
  <si>
    <t>樹林頭麵店</t>
  </si>
  <si>
    <t>欣園</t>
  </si>
  <si>
    <t>Africa food</t>
  </si>
  <si>
    <t>晨記水餃</t>
  </si>
  <si>
    <t>北埔</t>
  </si>
  <si>
    <t>北埔市場</t>
  </si>
  <si>
    <t>竹風市集</t>
  </si>
  <si>
    <t>羊膜穿刺</t>
  </si>
  <si>
    <t>韓華園</t>
  </si>
  <si>
    <t>慢慢飛-攤位</t>
  </si>
  <si>
    <t>日和小確幸</t>
  </si>
  <si>
    <t>雞蛋糕</t>
  </si>
  <si>
    <t>鐵道饅頭</t>
  </si>
  <si>
    <t>Breakfast 麵線</t>
  </si>
  <si>
    <t>Breakfast 飯糰</t>
  </si>
  <si>
    <t>捷運</t>
  </si>
  <si>
    <t>舊房訂金返還</t>
  </si>
  <si>
    <t>鎖匠</t>
  </si>
  <si>
    <t>網購</t>
  </si>
  <si>
    <t>樹林頭</t>
  </si>
  <si>
    <t xml:space="preserve">Family Mart </t>
  </si>
  <si>
    <t>parking</t>
  </si>
  <si>
    <t>麻辣燙</t>
  </si>
  <si>
    <t>北大荒</t>
  </si>
  <si>
    <t>Costco內湖</t>
  </si>
  <si>
    <t>鼎泰豐</t>
  </si>
  <si>
    <t>Costco新竹</t>
  </si>
  <si>
    <t>拾燒食事</t>
  </si>
  <si>
    <t>MisterDount</t>
  </si>
  <si>
    <t>欣園早點</t>
  </si>
  <si>
    <t>小寶看病</t>
  </si>
  <si>
    <t>三十米路</t>
  </si>
  <si>
    <t>饅頭</t>
  </si>
  <si>
    <t>小寶+老婆看病</t>
  </si>
  <si>
    <t>Costoco 熱食</t>
  </si>
  <si>
    <t>動物園</t>
  </si>
  <si>
    <t>漢堡</t>
  </si>
  <si>
    <t>割包</t>
  </si>
  <si>
    <t>眠豆腐</t>
  </si>
  <si>
    <t>孟格爾聚餐</t>
  </si>
  <si>
    <t>錦華飯糰</t>
  </si>
  <si>
    <t>臺大醫院</t>
  </si>
  <si>
    <t>特力屋</t>
  </si>
  <si>
    <t>荷蘭村 聖誕市集</t>
  </si>
  <si>
    <t>Online shop</t>
  </si>
  <si>
    <t>三廠麵店</t>
  </si>
  <si>
    <t>Parking 武陵路</t>
  </si>
  <si>
    <t>拉雅漢堡</t>
  </si>
  <si>
    <t>Parking 交大</t>
  </si>
  <si>
    <t>臭寶看診</t>
  </si>
  <si>
    <t>Breafast</t>
  </si>
  <si>
    <t>益生堂</t>
  </si>
  <si>
    <t>台東家樂福</t>
  </si>
  <si>
    <t>東河包子</t>
  </si>
  <si>
    <t>贓孩子工作室</t>
  </si>
  <si>
    <t>加油</t>
  </si>
  <si>
    <t>台東大学学餐</t>
  </si>
  <si>
    <t>叮哥</t>
  </si>
  <si>
    <t>鬼頭刀</t>
  </si>
  <si>
    <t>乖乖</t>
  </si>
  <si>
    <t>台東應用生態植物園</t>
  </si>
  <si>
    <t>初鹿牧埸門票</t>
  </si>
  <si>
    <t>美濃冰品</t>
  </si>
  <si>
    <t>spicy source</t>
  </si>
  <si>
    <t>初鹿牧場</t>
  </si>
  <si>
    <t>辣椒</t>
  </si>
  <si>
    <t>台南住宿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</si>
</sst>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m-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sz val="11.0"/>
      <color rgb="FF000000"/>
      <name val="Calibri"/>
    </font>
    <font>
      <u/>
      <color theme="1"/>
      <name val="Arial"/>
      <scheme val="minor"/>
    </font>
    <font>
      <b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2" fontId="6" numFmtId="0" xfId="0" applyAlignment="1" applyBorder="1" applyFill="1" applyFont="1">
      <alignment horizontal="center" shrinkToFit="0" vertical="center" wrapText="0"/>
    </xf>
    <xf borderId="2" fillId="3" fontId="6" numFmtId="0" xfId="0" applyAlignment="1" applyBorder="1" applyFill="1" applyFont="1">
      <alignment horizontal="center" shrinkToFit="0" vertical="center" wrapText="0"/>
    </xf>
    <xf borderId="3" fillId="2" fontId="6" numFmtId="0" xfId="0" applyAlignment="1" applyBorder="1" applyFont="1">
      <alignment horizontal="center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1" fillId="2" fontId="7" numFmtId="49" xfId="0" applyAlignment="1" applyBorder="1" applyFont="1" applyNumberFormat="1">
      <alignment shrinkToFit="0" vertical="center" wrapText="0"/>
    </xf>
    <xf borderId="4" fillId="2" fontId="8" numFmtId="49" xfId="0" applyAlignment="1" applyBorder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D9D4"/>
          <bgColor rgb="FFCCD9D4"/>
        </patternFill>
      </fill>
      <border/>
    </dxf>
  </dxfs>
  <tableStyles count="12">
    <tableStyle count="4" pivot="0" name="J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Mar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Apr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May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Jun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Jul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Aug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Sep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Oct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Nov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Dec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7" displayName="Jan" name="Jan" id="1">
  <tableColumns count="11">
    <tableColumn name="Date" id="1"/>
    <tableColumn name="Category" id="2"/>
    <tableColumn name="Item" id="3"/>
    <tableColumn name="Amount" id="4"/>
    <tableColumn name="Currency" id="5"/>
    <tableColumn name="Who" id="6"/>
    <tableColumn name="第 1 欄" id="7"/>
    <tableColumn name="第 2 欄" id="8"/>
    <tableColumn name="第 3 欄" id="9"/>
    <tableColumn name="第 4 欄" id="10"/>
    <tableColumn name="第 5 欄" id="11"/>
  </tableColumns>
  <tableStyleInfo name="Jan-style" showColumnStripes="0" showFirstColumn="1" showLastColumn="1" showRowStripes="1"/>
</table>
</file>

<file path=xl/tables/table2.xml><?xml version="1.0" encoding="utf-8"?>
<table xmlns="http://schemas.openxmlformats.org/spreadsheetml/2006/main" ref="A1:F28" displayName="Feb" name="Feb" id="2">
  <tableColumns count="6">
    <tableColumn name="Date" id="1"/>
    <tableColumn name="Category" id="2"/>
    <tableColumn name="Item" id="3"/>
    <tableColumn name="Amount" id="4"/>
    <tableColumn name="Currency" id="5"/>
    <tableColumn name="Who" id="6"/>
  </tableColumns>
  <tableStyleInfo name="Feb-style" showColumnStripes="0" showFirstColumn="1" showLastColumn="1" showRowStripes="1"/>
</table>
</file>

<file path=xl/tables/table3.xml><?xml version="1.0" encoding="utf-8"?>
<table xmlns="http://schemas.openxmlformats.org/spreadsheetml/2006/main" totalsRowCount="1" ref="A1:K46" displayName="表_2" name="表_2" id="3">
  <tableColumns count="11">
    <tableColumn name="Date" id="1"/>
    <tableColumn name="Category" id="2"/>
    <tableColumn name="Item" id="3"/>
    <tableColumn totalsRowFunction="custom" name="Amount" id="4"/>
    <tableColumn name="Currency" id="5"/>
    <tableColumn name="Who" id="6"/>
    <tableColumn name="第 1 欄" id="7"/>
    <tableColumn name="第 2 欄" id="8"/>
    <tableColumn name="第 3 欄" id="9"/>
    <tableColumn name="第 4 欄" id="10"/>
    <tableColumn name="第 5 欄" id="11"/>
  </tableColumns>
  <tableStyleInfo name="Mar-style" showColumnStripes="0" showFirstColumn="1" showLastColumn="1" showRowStripes="1"/>
</table>
</file>

<file path=xl/tables/table4.xml><?xml version="1.0" encoding="utf-8"?>
<table xmlns="http://schemas.openxmlformats.org/spreadsheetml/2006/main" totalsRowCount="1" ref="A1:M78" displayName="表_3" name="表_3" id="4">
  <tableColumns count="13">
    <tableColumn name="Date" id="1"/>
    <tableColumn name="Category" id="2"/>
    <tableColumn name="Item" id="3"/>
    <tableColumn totalsRowFunction="custom" name="Amount" id="4"/>
    <tableColumn name="Currency" id="5"/>
    <tableColumn name="TWD" id="6"/>
    <tableColumn name="Who" id="7"/>
    <tableColumn name="Column 12" id="8"/>
    <tableColumn name="第 1 欄" id="9"/>
    <tableColumn name="第 2 欄" id="10"/>
    <tableColumn name="第 3 欄" id="11"/>
    <tableColumn name="第 4 欄" id="12"/>
    <tableColumn name="第 5 欄" id="13"/>
  </tableColumns>
  <tableStyleInfo name="Apr-style" showColumnStripes="0" showFirstColumn="1" showLastColumn="1" showRowStripes="1"/>
</table>
</file>

<file path=xl/tables/table5.xml><?xml version="1.0" encoding="utf-8"?>
<table xmlns="http://schemas.openxmlformats.org/spreadsheetml/2006/main" totalsRowCount="1" ref="A1:H82" displayName="May" name="May" id="5">
  <tableColumns count="8">
    <tableColumn name="Date" id="1"/>
    <tableColumn name="Category" id="2"/>
    <tableColumn name="Item" id="3"/>
    <tableColumn name="Amount" id="4"/>
    <tableColumn name="Currency" id="5"/>
    <tableColumn totalsRowFunction="custom" name="TWD" id="6"/>
    <tableColumn name="Who" id="7"/>
    <tableColumn name="Where" id="8"/>
  </tableColumns>
  <tableStyleInfo name="May-style" showColumnStripes="0" showFirstColumn="1" showLastColumn="1" showRowStripes="1"/>
</table>
</file>

<file path=xl/tables/table6.xml><?xml version="1.0" encoding="utf-8"?>
<table xmlns="http://schemas.openxmlformats.org/spreadsheetml/2006/main" totalsRowCount="1" ref="A1:H81" displayName="June" name="June" id="6">
  <tableColumns count="8">
    <tableColumn name="Date" id="1"/>
    <tableColumn name="Category" id="2"/>
    <tableColumn name="Item" id="3"/>
    <tableColumn name="Amount" id="4"/>
    <tableColumn name="Currency" id="5"/>
    <tableColumn totalsRowFunction="custom" name="TWD" id="6"/>
    <tableColumn name="Who" id="7"/>
    <tableColumn name="Where" id="8"/>
  </tableColumns>
  <tableStyleInfo name="Jun-style" showColumnStripes="0" showFirstColumn="1" showLastColumn="1" showRowStripes="1"/>
</table>
</file>

<file path=xl/tables/table7.xml><?xml version="1.0" encoding="utf-8"?>
<table xmlns="http://schemas.openxmlformats.org/spreadsheetml/2006/main" totalsRowCount="1" ref="A1:H102" displayName="July" name="July" id="7">
  <tableColumns count="8">
    <tableColumn name="Date" id="1"/>
    <tableColumn name="Category" id="2"/>
    <tableColumn name="Item" id="3"/>
    <tableColumn name="Amount" id="4"/>
    <tableColumn name="Currency" id="5"/>
    <tableColumn totalsRowFunction="custom" name="TWD" id="6"/>
    <tableColumn name="Who" id="7"/>
    <tableColumn name="Where" id="8"/>
  </tableColumns>
  <tableStyleInfo name="Jul-style" showColumnStripes="0" showFirstColumn="1" showLastColumn="1" showRowStripes="1"/>
</table>
</file>

<file path=xl/tables/table8.xml><?xml version="1.0" encoding="utf-8"?>
<table xmlns="http://schemas.openxmlformats.org/spreadsheetml/2006/main" totalsRowCount="1" ref="A1:H92" displayName="July_2" name="July_2" id="8">
  <tableColumns count="8">
    <tableColumn name="Date" id="1"/>
    <tableColumn name="Category" id="2"/>
    <tableColumn name="Item" id="3"/>
    <tableColumn name="Amount" id="4"/>
    <tableColumn name="Currency" id="5"/>
    <tableColumn totalsRowFunction="custom" name="TWD" id="6"/>
    <tableColumn name="Who" id="7"/>
    <tableColumn name="Where" id="8"/>
  </tableColumns>
  <tableStyleInfo name="Aug-style" showColumnStripes="0" showFirstColumn="1" showLastColumn="1" showRowStripes="1"/>
</table>
</file>

<file path=xl/tables/table9.xml><?xml version="1.0" encoding="utf-8"?>
<table xmlns="http://schemas.openxmlformats.org/spreadsheetml/2006/main" totalsRowCount="1" ref="A1:H64" displayName="July_3" name="July_3" id="9">
  <tableColumns count="8">
    <tableColumn name="Date" id="1"/>
    <tableColumn name="Category" id="2"/>
    <tableColumn name="Item" id="3"/>
    <tableColumn name="Amount" id="4"/>
    <tableColumn name="Currency" id="5"/>
    <tableColumn totalsRowFunction="custom" name="TWD" id="6"/>
    <tableColumn name="Who" id="7"/>
    <tableColumn name="Where" id="8"/>
  </tableColumns>
  <tableStyleInfo name="Sep-style" showColumnStripes="0" showFirstColumn="1" showLastColumn="1" showRowStripes="1"/>
</table>
</file>

<file path=xl/tables/table10.xml><?xml version="1.0" encoding="utf-8"?>
<table xmlns="http://schemas.openxmlformats.org/spreadsheetml/2006/main" totalsRowCount="1" ref="A1:H75" displayName="July_4" name="July_4" id="10">
  <tableColumns count="8">
    <tableColumn name="Date" id="1"/>
    <tableColumn name="Category" id="2"/>
    <tableColumn name="Item" id="3"/>
    <tableColumn name="Amount" id="4"/>
    <tableColumn name="Currency" id="5"/>
    <tableColumn totalsRowFunction="custom" name="TWD" id="6"/>
    <tableColumn name="Who" id="7"/>
    <tableColumn name="Where" id="8"/>
  </tableColumns>
  <tableStyleInfo name="Oct-style" showColumnStripes="0" showFirstColumn="1" showLastColumn="1" showRowStripes="1"/>
</table>
</file>

<file path=xl/tables/table11.xml><?xml version="1.0" encoding="utf-8"?>
<table xmlns="http://schemas.openxmlformats.org/spreadsheetml/2006/main" totalsRowCount="1" ref="A1:H96" displayName="July_5" name="July_5" id="11">
  <tableColumns count="8">
    <tableColumn name="Date" id="1"/>
    <tableColumn name="Category" id="2"/>
    <tableColumn name="Item" id="3"/>
    <tableColumn name="Amount" id="4"/>
    <tableColumn name="Currency" id="5"/>
    <tableColumn totalsRowFunction="custom" name="TWD" id="6"/>
    <tableColumn name="Who" id="7"/>
    <tableColumn name="Where" id="8"/>
  </tableColumns>
  <tableStyleInfo name="Nov-style" showColumnStripes="0" showFirstColumn="1" showLastColumn="1" showRowStripes="1"/>
</table>
</file>

<file path=xl/tables/table12.xml><?xml version="1.0" encoding="utf-8"?>
<table xmlns="http://schemas.openxmlformats.org/spreadsheetml/2006/main" totalsRowCount="1" ref="A1:H86" displayName="July_6" name="July_6" id="12">
  <tableColumns count="8">
    <tableColumn name="Date" id="1"/>
    <tableColumn name="Category" id="2"/>
    <tableColumn name="Item" id="3"/>
    <tableColumn name="Amount" id="4"/>
    <tableColumn name="Currency" id="5"/>
    <tableColumn totalsRowFunction="custom" name="TWD" id="6"/>
    <tableColumn name="Who" id="7"/>
    <tableColumn name="Where" id="8"/>
  </tableColumns>
  <tableStyleInfo name="De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.s.parker0106@gmail.com" TargetMode="External"/><Relationship Id="rId2" Type="http://schemas.openxmlformats.org/officeDocument/2006/relationships/hyperlink" Target="mailto:cynical07@gmail.com" TargetMode="External"/><Relationship Id="rId3" Type="http://schemas.openxmlformats.org/officeDocument/2006/relationships/hyperlink" Target="mailto:a.s.parker0106@gmail.com" TargetMode="External"/><Relationship Id="rId4" Type="http://schemas.openxmlformats.org/officeDocument/2006/relationships/hyperlink" Target="mailto:a.s.parker0106@gmail.com" TargetMode="External"/><Relationship Id="rId9" Type="http://schemas.openxmlformats.org/officeDocument/2006/relationships/table" Target="../tables/table1.xml"/><Relationship Id="rId5" Type="http://schemas.openxmlformats.org/officeDocument/2006/relationships/hyperlink" Target="mailto:a.s.parker0106@gmail.com" TargetMode="External"/><Relationship Id="rId6" Type="http://schemas.openxmlformats.org/officeDocument/2006/relationships/hyperlink" Target="mailto:a.s.parker0106@gmail.com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a.s.parker0106@gmail.com" TargetMode="External"/><Relationship Id="rId22" Type="http://schemas.openxmlformats.org/officeDocument/2006/relationships/hyperlink" Target="mailto:a.s.parker0106@gmail.com" TargetMode="External"/><Relationship Id="rId21" Type="http://schemas.openxmlformats.org/officeDocument/2006/relationships/hyperlink" Target="mailto:a.s.parker0106@gmail.com" TargetMode="External"/><Relationship Id="rId24" Type="http://schemas.openxmlformats.org/officeDocument/2006/relationships/hyperlink" Target="mailto:a.s.parker0106@gmail.com" TargetMode="External"/><Relationship Id="rId23" Type="http://schemas.openxmlformats.org/officeDocument/2006/relationships/hyperlink" Target="mailto:a.s.parker0106@gmail.com" TargetMode="External"/><Relationship Id="rId1" Type="http://schemas.openxmlformats.org/officeDocument/2006/relationships/hyperlink" Target="mailto:a.s.parker0106@gmail.com" TargetMode="External"/><Relationship Id="rId2" Type="http://schemas.openxmlformats.org/officeDocument/2006/relationships/hyperlink" Target="mailto:cynical07@gmail.com" TargetMode="External"/><Relationship Id="rId3" Type="http://schemas.openxmlformats.org/officeDocument/2006/relationships/hyperlink" Target="mailto:a.s.parker0106@gmail.com" TargetMode="External"/><Relationship Id="rId4" Type="http://schemas.openxmlformats.org/officeDocument/2006/relationships/hyperlink" Target="mailto:a.s.parker0106@gmail.com" TargetMode="External"/><Relationship Id="rId9" Type="http://schemas.openxmlformats.org/officeDocument/2006/relationships/hyperlink" Target="mailto:a.s.parker0106@gmail.com" TargetMode="External"/><Relationship Id="rId26" Type="http://schemas.openxmlformats.org/officeDocument/2006/relationships/hyperlink" Target="mailto:a.s.parker0106@gmail.com" TargetMode="External"/><Relationship Id="rId25" Type="http://schemas.openxmlformats.org/officeDocument/2006/relationships/hyperlink" Target="mailto:a.s.parker0106@gmail.com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mailto:a.s.parker0106@gmail.com" TargetMode="External"/><Relationship Id="rId5" Type="http://schemas.openxmlformats.org/officeDocument/2006/relationships/hyperlink" Target="mailto:a.s.parker0106@gmail.com" TargetMode="External"/><Relationship Id="rId6" Type="http://schemas.openxmlformats.org/officeDocument/2006/relationships/hyperlink" Target="mailto:a.s.parker0106@gmail.com" TargetMode="External"/><Relationship Id="rId7" Type="http://schemas.openxmlformats.org/officeDocument/2006/relationships/hyperlink" Target="mailto:a.s.parker0106@gmail.com" TargetMode="External"/><Relationship Id="rId8" Type="http://schemas.openxmlformats.org/officeDocument/2006/relationships/hyperlink" Target="mailto:a.s.parker0106@gmail.com" TargetMode="External"/><Relationship Id="rId30" Type="http://schemas.openxmlformats.org/officeDocument/2006/relationships/table" Target="../tables/table2.xml"/><Relationship Id="rId11" Type="http://schemas.openxmlformats.org/officeDocument/2006/relationships/hyperlink" Target="mailto:a.s.parker0106@gmail.com" TargetMode="External"/><Relationship Id="rId10" Type="http://schemas.openxmlformats.org/officeDocument/2006/relationships/hyperlink" Target="mailto:a.s.parker0106@gmail.com" TargetMode="External"/><Relationship Id="rId13" Type="http://schemas.openxmlformats.org/officeDocument/2006/relationships/hyperlink" Target="mailto:a.s.parker0106@gmail.com" TargetMode="External"/><Relationship Id="rId12" Type="http://schemas.openxmlformats.org/officeDocument/2006/relationships/hyperlink" Target="mailto:cynical07@gmail.com" TargetMode="External"/><Relationship Id="rId15" Type="http://schemas.openxmlformats.org/officeDocument/2006/relationships/hyperlink" Target="mailto:a.s.parker0106@gmail.com" TargetMode="External"/><Relationship Id="rId14" Type="http://schemas.openxmlformats.org/officeDocument/2006/relationships/hyperlink" Target="mailto:a.s.parker0106@gmail.com" TargetMode="External"/><Relationship Id="rId17" Type="http://schemas.openxmlformats.org/officeDocument/2006/relationships/hyperlink" Target="mailto:a.s.parker0106@gmail.com" TargetMode="External"/><Relationship Id="rId16" Type="http://schemas.openxmlformats.org/officeDocument/2006/relationships/hyperlink" Target="mailto:a.s.parker0106@gmail.com" TargetMode="External"/><Relationship Id="rId19" Type="http://schemas.openxmlformats.org/officeDocument/2006/relationships/hyperlink" Target="mailto:a.s.parker0106@gmail.com" TargetMode="External"/><Relationship Id="rId18" Type="http://schemas.openxmlformats.org/officeDocument/2006/relationships/hyperlink" Target="mailto:a.s.parker0106@gmail.com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a.s.parker0106@gmail.com" TargetMode="External"/><Relationship Id="rId20" Type="http://schemas.openxmlformats.org/officeDocument/2006/relationships/hyperlink" Target="mailto:a.s.parker0106@gmail.com" TargetMode="External"/><Relationship Id="rId42" Type="http://schemas.openxmlformats.org/officeDocument/2006/relationships/hyperlink" Target="mailto:a.s.parker0106@gmail.com" TargetMode="External"/><Relationship Id="rId41" Type="http://schemas.openxmlformats.org/officeDocument/2006/relationships/hyperlink" Target="mailto:a.s.parker0106@gmail.com" TargetMode="External"/><Relationship Id="rId22" Type="http://schemas.openxmlformats.org/officeDocument/2006/relationships/hyperlink" Target="mailto:a.s.parker0106@gmail.com" TargetMode="External"/><Relationship Id="rId44" Type="http://schemas.openxmlformats.org/officeDocument/2006/relationships/hyperlink" Target="mailto:a.s.parker0106@gmail.com" TargetMode="External"/><Relationship Id="rId21" Type="http://schemas.openxmlformats.org/officeDocument/2006/relationships/hyperlink" Target="mailto:a.s.parker0106@gmail.com" TargetMode="External"/><Relationship Id="rId43" Type="http://schemas.openxmlformats.org/officeDocument/2006/relationships/hyperlink" Target="mailto:a.s.parker0106@gmail.com" TargetMode="External"/><Relationship Id="rId24" Type="http://schemas.openxmlformats.org/officeDocument/2006/relationships/hyperlink" Target="mailto:a.s.parker0106@gmail.com" TargetMode="External"/><Relationship Id="rId23" Type="http://schemas.openxmlformats.org/officeDocument/2006/relationships/hyperlink" Target="mailto:a.s.parker0106@gmail.com" TargetMode="External"/><Relationship Id="rId45" Type="http://schemas.openxmlformats.org/officeDocument/2006/relationships/drawing" Target="../drawings/drawing3.xml"/><Relationship Id="rId1" Type="http://schemas.openxmlformats.org/officeDocument/2006/relationships/hyperlink" Target="mailto:a.s.parker0106@gmail.com" TargetMode="External"/><Relationship Id="rId2" Type="http://schemas.openxmlformats.org/officeDocument/2006/relationships/hyperlink" Target="mailto:cynical07@gmail.com" TargetMode="External"/><Relationship Id="rId3" Type="http://schemas.openxmlformats.org/officeDocument/2006/relationships/hyperlink" Target="mailto:a.s.parker0106@gmail.com" TargetMode="External"/><Relationship Id="rId4" Type="http://schemas.openxmlformats.org/officeDocument/2006/relationships/hyperlink" Target="mailto:a.s.parker0106@gmail.com" TargetMode="External"/><Relationship Id="rId9" Type="http://schemas.openxmlformats.org/officeDocument/2006/relationships/hyperlink" Target="mailto:a.s.parker0106@gmail.com" TargetMode="External"/><Relationship Id="rId26" Type="http://schemas.openxmlformats.org/officeDocument/2006/relationships/hyperlink" Target="mailto:a.s.parker0106@gmail.com" TargetMode="External"/><Relationship Id="rId25" Type="http://schemas.openxmlformats.org/officeDocument/2006/relationships/hyperlink" Target="mailto:a.s.parker0106@gmail.com" TargetMode="External"/><Relationship Id="rId47" Type="http://schemas.openxmlformats.org/officeDocument/2006/relationships/table" Target="../tables/table3.xml"/><Relationship Id="rId28" Type="http://schemas.openxmlformats.org/officeDocument/2006/relationships/hyperlink" Target="mailto:a.s.parker0106@gmail.com" TargetMode="External"/><Relationship Id="rId27" Type="http://schemas.openxmlformats.org/officeDocument/2006/relationships/hyperlink" Target="mailto:a.s.parker0106@gmail.com" TargetMode="External"/><Relationship Id="rId5" Type="http://schemas.openxmlformats.org/officeDocument/2006/relationships/hyperlink" Target="mailto:a.s.parker0106@gmail.com" TargetMode="External"/><Relationship Id="rId6" Type="http://schemas.openxmlformats.org/officeDocument/2006/relationships/hyperlink" Target="mailto:a.s.parker0106@gmail.com" TargetMode="External"/><Relationship Id="rId29" Type="http://schemas.openxmlformats.org/officeDocument/2006/relationships/hyperlink" Target="mailto:a.s.parker0106@gmail.com" TargetMode="External"/><Relationship Id="rId7" Type="http://schemas.openxmlformats.org/officeDocument/2006/relationships/hyperlink" Target="mailto:a.s.parker0106@gmail.com" TargetMode="External"/><Relationship Id="rId8" Type="http://schemas.openxmlformats.org/officeDocument/2006/relationships/hyperlink" Target="mailto:a.s.parker0106@gmail.com" TargetMode="External"/><Relationship Id="rId31" Type="http://schemas.openxmlformats.org/officeDocument/2006/relationships/hyperlink" Target="mailto:a.s.parker0106@gmail.com" TargetMode="External"/><Relationship Id="rId30" Type="http://schemas.openxmlformats.org/officeDocument/2006/relationships/hyperlink" Target="mailto:a.s.parker0106@gmail.com" TargetMode="External"/><Relationship Id="rId11" Type="http://schemas.openxmlformats.org/officeDocument/2006/relationships/hyperlink" Target="mailto:a.s.parker0106@gmail.com" TargetMode="External"/><Relationship Id="rId33" Type="http://schemas.openxmlformats.org/officeDocument/2006/relationships/hyperlink" Target="mailto:a.s.parker0106@gmail.com" TargetMode="External"/><Relationship Id="rId10" Type="http://schemas.openxmlformats.org/officeDocument/2006/relationships/hyperlink" Target="mailto:a.s.parker0106@gmail.com" TargetMode="External"/><Relationship Id="rId32" Type="http://schemas.openxmlformats.org/officeDocument/2006/relationships/hyperlink" Target="mailto:a.s.parker0106@gmail.com" TargetMode="External"/><Relationship Id="rId13" Type="http://schemas.openxmlformats.org/officeDocument/2006/relationships/hyperlink" Target="mailto:a.s.parker0106@gmail.com" TargetMode="External"/><Relationship Id="rId35" Type="http://schemas.openxmlformats.org/officeDocument/2006/relationships/hyperlink" Target="mailto:a.s.parker0106@gmail.com" TargetMode="External"/><Relationship Id="rId12" Type="http://schemas.openxmlformats.org/officeDocument/2006/relationships/hyperlink" Target="mailto:a.s.parker0106@gmail.com" TargetMode="External"/><Relationship Id="rId34" Type="http://schemas.openxmlformats.org/officeDocument/2006/relationships/hyperlink" Target="mailto:a.s.parker0106@gmail.com" TargetMode="External"/><Relationship Id="rId15" Type="http://schemas.openxmlformats.org/officeDocument/2006/relationships/hyperlink" Target="mailto:a.s.parker0106@gmail.com" TargetMode="External"/><Relationship Id="rId37" Type="http://schemas.openxmlformats.org/officeDocument/2006/relationships/hyperlink" Target="mailto:a.s.parker0106@gmail.com" TargetMode="External"/><Relationship Id="rId14" Type="http://schemas.openxmlformats.org/officeDocument/2006/relationships/hyperlink" Target="mailto:a.s.parker0106@gmail.com" TargetMode="External"/><Relationship Id="rId36" Type="http://schemas.openxmlformats.org/officeDocument/2006/relationships/hyperlink" Target="mailto:a.s.parker0106@gmail.com" TargetMode="External"/><Relationship Id="rId17" Type="http://schemas.openxmlformats.org/officeDocument/2006/relationships/hyperlink" Target="mailto:a.s.parker0106@gmail.com" TargetMode="External"/><Relationship Id="rId39" Type="http://schemas.openxmlformats.org/officeDocument/2006/relationships/hyperlink" Target="mailto:a.s.parker0106@gmail.com" TargetMode="External"/><Relationship Id="rId16" Type="http://schemas.openxmlformats.org/officeDocument/2006/relationships/hyperlink" Target="mailto:a.s.parker0106@gmail.com" TargetMode="External"/><Relationship Id="rId38" Type="http://schemas.openxmlformats.org/officeDocument/2006/relationships/hyperlink" Target="mailto:a.s.parker0106@gmail.com" TargetMode="External"/><Relationship Id="rId19" Type="http://schemas.openxmlformats.org/officeDocument/2006/relationships/hyperlink" Target="mailto:a.s.parker0106@gmail.com" TargetMode="External"/><Relationship Id="rId18" Type="http://schemas.openxmlformats.org/officeDocument/2006/relationships/hyperlink" Target="mailto:a.s.parker0106@gmail.com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a.s.parker0106@gmail.com" TargetMode="External"/><Relationship Id="rId42" Type="http://schemas.openxmlformats.org/officeDocument/2006/relationships/hyperlink" Target="mailto:a.s.parker0106@gmail.com" TargetMode="External"/><Relationship Id="rId41" Type="http://schemas.openxmlformats.org/officeDocument/2006/relationships/hyperlink" Target="https://www.google.com/maps/place/Sendai/data=!4m2!3m1!19sChIJ01XNMO4qil8R7rFGuOB5Jbo" TargetMode="External"/><Relationship Id="rId44" Type="http://schemas.openxmlformats.org/officeDocument/2006/relationships/hyperlink" Target="mailto:a.s.parker0106@gmail.com" TargetMode="External"/><Relationship Id="rId43" Type="http://schemas.openxmlformats.org/officeDocument/2006/relationships/hyperlink" Target="https://www.google.com/maps/place/Sendai/data=!4m2!3m1!19sChIJ01XNMO4qil8R7rFGuOB5Jbo" TargetMode="External"/><Relationship Id="rId46" Type="http://schemas.openxmlformats.org/officeDocument/2006/relationships/hyperlink" Target="mailto:a.s.parker0106@gmail.com" TargetMode="External"/><Relationship Id="rId45" Type="http://schemas.openxmlformats.org/officeDocument/2006/relationships/hyperlink" Target="https://www.google.com/maps/place/Sendai/data=!4m2!3m1!19sChIJ01XNMO4qil8R7rFGuOB5Jbo" TargetMode="External"/><Relationship Id="rId48" Type="http://schemas.openxmlformats.org/officeDocument/2006/relationships/hyperlink" Target="https://www.google.com/maps/place/Sendai/data=!4m2!3m1!19sChIJ01XNMO4qil8R7rFGuOB5Jbo" TargetMode="External"/><Relationship Id="rId47" Type="http://schemas.openxmlformats.org/officeDocument/2006/relationships/hyperlink" Target="https://www.google.com/maps/place/Sendai/data=!4m2!3m1!19sChIJ01XNMO4qil8R7rFGuOB5Jbo" TargetMode="External"/><Relationship Id="rId49" Type="http://schemas.openxmlformats.org/officeDocument/2006/relationships/hyperlink" Target="mailto:a.s.parker0106@gmail.com" TargetMode="External"/><Relationship Id="rId103" Type="http://schemas.openxmlformats.org/officeDocument/2006/relationships/table" Target="../tables/table4.xml"/><Relationship Id="rId101" Type="http://schemas.openxmlformats.org/officeDocument/2006/relationships/drawing" Target="../drawings/drawing4.xml"/><Relationship Id="rId100" Type="http://schemas.openxmlformats.org/officeDocument/2006/relationships/hyperlink" Target="https://www.google.com/maps/place/Hsinchu+City/data=!4m2!3m1!19sChIJ9-datXdKaDQR-x-h4mLoTF4" TargetMode="External"/><Relationship Id="rId31" Type="http://schemas.openxmlformats.org/officeDocument/2006/relationships/hyperlink" Target="https://www.google.com/maps/place/Sendai/data=!4m2!3m1!19sChIJ01XNMO4qil8R7rFGuOB5Jbo" TargetMode="External"/><Relationship Id="rId30" Type="http://schemas.openxmlformats.org/officeDocument/2006/relationships/hyperlink" Target="mailto:a.s.parker0106@gmail.com" TargetMode="External"/><Relationship Id="rId33" Type="http://schemas.openxmlformats.org/officeDocument/2006/relationships/hyperlink" Target="https://www.google.com/maps/place/Sendai/data=!4m2!3m1!19sChIJ01XNMO4qil8R7rFGuOB5Jbo" TargetMode="External"/><Relationship Id="rId32" Type="http://schemas.openxmlformats.org/officeDocument/2006/relationships/hyperlink" Target="mailto:a.s.parker0106@gmail.com" TargetMode="External"/><Relationship Id="rId35" Type="http://schemas.openxmlformats.org/officeDocument/2006/relationships/hyperlink" Target="https://www.google.com/maps/place/Sendai/data=!4m2!3m1!19sChIJ01XNMO4qil8R7rFGuOB5Jbo" TargetMode="External"/><Relationship Id="rId34" Type="http://schemas.openxmlformats.org/officeDocument/2006/relationships/hyperlink" Target="mailto:a.s.parker0106@gmail.com" TargetMode="External"/><Relationship Id="rId37" Type="http://schemas.openxmlformats.org/officeDocument/2006/relationships/hyperlink" Target="https://www.google.com/maps/place/Sendai/data=!4m2!3m1!19sChIJ01XNMO4qil8R7rFGuOB5Jbo" TargetMode="External"/><Relationship Id="rId36" Type="http://schemas.openxmlformats.org/officeDocument/2006/relationships/hyperlink" Target="mailto:a.s.parker0106@gmail.com" TargetMode="External"/><Relationship Id="rId39" Type="http://schemas.openxmlformats.org/officeDocument/2006/relationships/hyperlink" Target="https://www.google.com/maps/place/Sendai/data=!4m2!3m1!19sChIJ01XNMO4qil8R7rFGuOB5Jbo" TargetMode="External"/><Relationship Id="rId38" Type="http://schemas.openxmlformats.org/officeDocument/2006/relationships/hyperlink" Target="mailto:a.s.parker0106@gmail.com" TargetMode="External"/><Relationship Id="rId20" Type="http://schemas.openxmlformats.org/officeDocument/2006/relationships/hyperlink" Target="mailto:a.s.parker0106@gmail.com" TargetMode="External"/><Relationship Id="rId22" Type="http://schemas.openxmlformats.org/officeDocument/2006/relationships/hyperlink" Target="mailto:a.s.parker0106@gmail.com" TargetMode="External"/><Relationship Id="rId21" Type="http://schemas.openxmlformats.org/officeDocument/2006/relationships/hyperlink" Target="https://www.google.com/maps/place/Sendai/data=!4m2!3m1!19sChIJ01XNMO4qil8R7rFGuOB5Jbo" TargetMode="External"/><Relationship Id="rId24" Type="http://schemas.openxmlformats.org/officeDocument/2006/relationships/hyperlink" Target="mailto:a.s.parker0106@gmail.com" TargetMode="External"/><Relationship Id="rId23" Type="http://schemas.openxmlformats.org/officeDocument/2006/relationships/hyperlink" Target="https://www.google.com/maps/place/Sendai/data=!4m2!3m1!19sChIJ01XNMO4qil8R7rFGuOB5Jbo" TargetMode="External"/><Relationship Id="rId26" Type="http://schemas.openxmlformats.org/officeDocument/2006/relationships/hyperlink" Target="mailto:a.s.parker0106@gmail.com" TargetMode="External"/><Relationship Id="rId25" Type="http://schemas.openxmlformats.org/officeDocument/2006/relationships/hyperlink" Target="https://www.google.com/maps/place/Sendai/data=!4m2!3m1!19sChIJ01XNMO4qil8R7rFGuOB5Jbo" TargetMode="External"/><Relationship Id="rId28" Type="http://schemas.openxmlformats.org/officeDocument/2006/relationships/hyperlink" Target="mailto:a.s.parker0106@gmail.com" TargetMode="External"/><Relationship Id="rId27" Type="http://schemas.openxmlformats.org/officeDocument/2006/relationships/hyperlink" Target="https://www.google.com/maps/place/Sendai/data=!4m2!3m1!19sChIJ01XNMO4qil8R7rFGuOB5Jbo" TargetMode="External"/><Relationship Id="rId29" Type="http://schemas.openxmlformats.org/officeDocument/2006/relationships/hyperlink" Target="https://www.google.com/maps/place/Sendai/data=!4m2!3m1!19sChIJ01XNMO4qil8R7rFGuOB5Jbo" TargetMode="External"/><Relationship Id="rId95" Type="http://schemas.openxmlformats.org/officeDocument/2006/relationships/hyperlink" Target="mailto:a.s.parker0106@gmail.com" TargetMode="External"/><Relationship Id="rId94" Type="http://schemas.openxmlformats.org/officeDocument/2006/relationships/hyperlink" Target="https://www.google.com/maps/place/%E7%BE%A9%E6%B0%91%E8%B7%AF%E4%BA%8C%E6%AE%B5530%E5%B7%B7173%E8%99%9F/data=!4m2!3m1!19sChIJCQHj4y03aDQRgFoUwOPymNs" TargetMode="External"/><Relationship Id="rId97" Type="http://schemas.openxmlformats.org/officeDocument/2006/relationships/hyperlink" Target="mailto:a.s.parker0106@gmail.com" TargetMode="External"/><Relationship Id="rId96" Type="http://schemas.openxmlformats.org/officeDocument/2006/relationships/hyperlink" Target="https://www.google.com/maps/place/Hsinchu+City/data=!4m2!3m1!19sChIJ9-datXdKaDQR-x-h4mLoTF4" TargetMode="External"/><Relationship Id="rId11" Type="http://schemas.openxmlformats.org/officeDocument/2006/relationships/hyperlink" Target="https://www.google.com/maps/place/Sendai/data=!4m2!3m1!19sChIJ01XNMO4qil8R7rFGuOB5Jbo" TargetMode="External"/><Relationship Id="rId99" Type="http://schemas.openxmlformats.org/officeDocument/2006/relationships/hyperlink" Target="mailto:a.s.parker0106@gmail.com" TargetMode="External"/><Relationship Id="rId10" Type="http://schemas.openxmlformats.org/officeDocument/2006/relationships/hyperlink" Target="mailto:a.s.parker0106@gmail.com" TargetMode="External"/><Relationship Id="rId98" Type="http://schemas.openxmlformats.org/officeDocument/2006/relationships/hyperlink" Target="https://www.google.com/maps/place/Hsinchu+City/data=!4m2!3m1!19sChIJ9-datXdKaDQR-x-h4mLoTF4" TargetMode="External"/><Relationship Id="rId13" Type="http://schemas.openxmlformats.org/officeDocument/2006/relationships/hyperlink" Target="https://www.google.com/maps/place/Sendai/data=!4m2!3m1!19sChIJ01XNMO4qil8R7rFGuOB5Jbo" TargetMode="External"/><Relationship Id="rId12" Type="http://schemas.openxmlformats.org/officeDocument/2006/relationships/hyperlink" Target="mailto:a.s.parker0106@gmail.com" TargetMode="External"/><Relationship Id="rId91" Type="http://schemas.openxmlformats.org/officeDocument/2006/relationships/hyperlink" Target="mailto:a.s.parker0106@gmail.com" TargetMode="External"/><Relationship Id="rId90" Type="http://schemas.openxmlformats.org/officeDocument/2006/relationships/hyperlink" Target="https://www.google.com/maps/place/Hsinchu+City/data=!4m2!3m1!19sChIJ9-datXdKaDQR-x-h4mLoTF4" TargetMode="External"/><Relationship Id="rId93" Type="http://schemas.openxmlformats.org/officeDocument/2006/relationships/hyperlink" Target="mailto:a.s.parker0106@gmail.com" TargetMode="External"/><Relationship Id="rId92" Type="http://schemas.openxmlformats.org/officeDocument/2006/relationships/hyperlink" Target="https://www.google.com/maps/place/Hsinchu+City/data=!4m2!3m1!19sChIJ9-datXdKaDQR-x-h4mLoTF4" TargetMode="External"/><Relationship Id="rId15" Type="http://schemas.openxmlformats.org/officeDocument/2006/relationships/hyperlink" Target="https://www.google.com/maps/place/Sendai/data=!4m2!3m1!19sChIJ01XNMO4qil8R7rFGuOB5Jbo" TargetMode="External"/><Relationship Id="rId14" Type="http://schemas.openxmlformats.org/officeDocument/2006/relationships/hyperlink" Target="mailto:a.s.parker0106@gmail.com" TargetMode="External"/><Relationship Id="rId17" Type="http://schemas.openxmlformats.org/officeDocument/2006/relationships/hyperlink" Target="https://www.google.com/maps/place/Sendai/data=!4m2!3m1!19sChIJ01XNMO4qil8R7rFGuOB5Jbo" TargetMode="External"/><Relationship Id="rId16" Type="http://schemas.openxmlformats.org/officeDocument/2006/relationships/hyperlink" Target="mailto:a.s.parker0106@gmail.com" TargetMode="External"/><Relationship Id="rId19" Type="http://schemas.openxmlformats.org/officeDocument/2006/relationships/hyperlink" Target="https://www.google.com/maps/place/Sendai/data=!4m2!3m1!19sChIJ01XNMO4qil8R7rFGuOB5Jbo" TargetMode="External"/><Relationship Id="rId18" Type="http://schemas.openxmlformats.org/officeDocument/2006/relationships/hyperlink" Target="mailto:a.s.parker0106@gmail.com" TargetMode="External"/><Relationship Id="rId84" Type="http://schemas.openxmlformats.org/officeDocument/2006/relationships/hyperlink" Target="https://www.google.com/maps/place/COSTCO+Hsinchu+Store/data=!4m2!3m1!19sChIJg29hY0A2aDQRNGKWKqwBApk" TargetMode="External"/><Relationship Id="rId83" Type="http://schemas.openxmlformats.org/officeDocument/2006/relationships/hyperlink" Target="mailto:a.s.parker0106@gmail.com" TargetMode="External"/><Relationship Id="rId86" Type="http://schemas.openxmlformats.org/officeDocument/2006/relationships/hyperlink" Target="https://www.google.com/maps/place/COSTCO+Hsinchu+Store/data=!4m2!3m1!19sChIJg29hY0A2aDQRNGKWKqwBApk" TargetMode="External"/><Relationship Id="rId85" Type="http://schemas.openxmlformats.org/officeDocument/2006/relationships/hyperlink" Target="mailto:a.s.parker0106@gmail.com" TargetMode="External"/><Relationship Id="rId88" Type="http://schemas.openxmlformats.org/officeDocument/2006/relationships/hyperlink" Target="https://www.google.com/maps/place/Hsinchu+City/data=!4m2!3m1!19sChIJ9-datXdKaDQR-x-h4mLoTF4" TargetMode="External"/><Relationship Id="rId87" Type="http://schemas.openxmlformats.org/officeDocument/2006/relationships/hyperlink" Target="mailto:a.s.parker0106@gmail.com" TargetMode="External"/><Relationship Id="rId89" Type="http://schemas.openxmlformats.org/officeDocument/2006/relationships/hyperlink" Target="mailto:a.s.parker0106@gmail.com" TargetMode="External"/><Relationship Id="rId80" Type="http://schemas.openxmlformats.org/officeDocument/2006/relationships/hyperlink" Target="https://www.google.com/maps/place/Fukukawa/data=!4m2!3m1!19sChIJg0qMHHX3aS4RIQ-EpZZxsFg" TargetMode="External"/><Relationship Id="rId82" Type="http://schemas.openxmlformats.org/officeDocument/2006/relationships/hyperlink" Target="https://www.google.com/maps/place/Fukukawa/data=!4m2!3m1!19sChIJg0qMHHX3aS4RIQ-EpZZxsFg" TargetMode="External"/><Relationship Id="rId81" Type="http://schemas.openxmlformats.org/officeDocument/2006/relationships/hyperlink" Target="mailto:a.s.parker0106@gmail.com" TargetMode="External"/><Relationship Id="rId1" Type="http://schemas.openxmlformats.org/officeDocument/2006/relationships/hyperlink" Target="mailto:a.s.parker0106@gmail.com" TargetMode="External"/><Relationship Id="rId2" Type="http://schemas.openxmlformats.org/officeDocument/2006/relationships/hyperlink" Target="mailto:cynical07@gmail.com" TargetMode="External"/><Relationship Id="rId3" Type="http://schemas.openxmlformats.org/officeDocument/2006/relationships/hyperlink" Target="mailto:a.s.parker0106@gmail.com" TargetMode="External"/><Relationship Id="rId4" Type="http://schemas.openxmlformats.org/officeDocument/2006/relationships/hyperlink" Target="mailto:a.s.parker0106@gmail.com" TargetMode="External"/><Relationship Id="rId9" Type="http://schemas.openxmlformats.org/officeDocument/2006/relationships/hyperlink" Target="https://www.google.com/maps/place/Sendai/data=!4m2!3m1!19sChIJ01XNMO4qil8R7rFGuOB5Jbo" TargetMode="External"/><Relationship Id="rId5" Type="http://schemas.openxmlformats.org/officeDocument/2006/relationships/hyperlink" Target="mailto:a.s.parker0106@gmail.com" TargetMode="External"/><Relationship Id="rId6" Type="http://schemas.openxmlformats.org/officeDocument/2006/relationships/hyperlink" Target="mailto:a.s.parker0106@gmail.com" TargetMode="External"/><Relationship Id="rId7" Type="http://schemas.openxmlformats.org/officeDocument/2006/relationships/hyperlink" Target="https://www.google.com/maps/place/Sendai/data=!4m2!3m1!19sChIJ01XNMO4qil8R7rFGuOB5Jbo" TargetMode="External"/><Relationship Id="rId8" Type="http://schemas.openxmlformats.org/officeDocument/2006/relationships/hyperlink" Target="mailto:a.s.parker0106@gmail.com" TargetMode="External"/><Relationship Id="rId73" Type="http://schemas.openxmlformats.org/officeDocument/2006/relationships/hyperlink" Target="mailto:a.s.parker0106@gmail.com" TargetMode="External"/><Relationship Id="rId72" Type="http://schemas.openxmlformats.org/officeDocument/2006/relationships/hyperlink" Target="https://www.google.com/maps/place/Fukukawa/data=!4m2!3m1!19sChIJg0qMHHX3aS4RIQ-EpZZxsFg" TargetMode="External"/><Relationship Id="rId75" Type="http://schemas.openxmlformats.org/officeDocument/2006/relationships/hyperlink" Target="mailto:a.s.parker0106@gmail.com" TargetMode="External"/><Relationship Id="rId74" Type="http://schemas.openxmlformats.org/officeDocument/2006/relationships/hyperlink" Target="https://www.google.com/maps/place/Fukukawa/data=!4m2!3m1!19sChIJg0qMHHX3aS4RIQ-EpZZxsFg" TargetMode="External"/><Relationship Id="rId77" Type="http://schemas.openxmlformats.org/officeDocument/2006/relationships/hyperlink" Target="mailto:a.s.parker0106@gmail.com" TargetMode="External"/><Relationship Id="rId76" Type="http://schemas.openxmlformats.org/officeDocument/2006/relationships/hyperlink" Target="https://www.google.com/maps/place/Fukukawa/data=!4m2!3m1!19sChIJg0qMHHX3aS4RIQ-EpZZxsFg" TargetMode="External"/><Relationship Id="rId79" Type="http://schemas.openxmlformats.org/officeDocument/2006/relationships/hyperlink" Target="mailto:a.s.parker0106@gmail.com" TargetMode="External"/><Relationship Id="rId78" Type="http://schemas.openxmlformats.org/officeDocument/2006/relationships/hyperlink" Target="https://www.google.com/maps/place/Fukukawa/data=!4m2!3m1!19sChIJg0qMHHX3aS4RIQ-EpZZxsFg" TargetMode="External"/><Relationship Id="rId71" Type="http://schemas.openxmlformats.org/officeDocument/2006/relationships/hyperlink" Target="mailto:a.s.parker0106@gmail.com" TargetMode="External"/><Relationship Id="rId70" Type="http://schemas.openxmlformats.org/officeDocument/2006/relationships/hyperlink" Target="https://www.google.com/maps/place/Fukukawa/data=!4m2!3m1!19sChIJg0qMHHX3aS4RIQ-EpZZxsFg" TargetMode="External"/><Relationship Id="rId62" Type="http://schemas.openxmlformats.org/officeDocument/2006/relationships/hyperlink" Target="https://www.google.com/maps/place/Fukukawa/data=!4m2!3m1!19sChIJg0qMHHX3aS4RIQ-EpZZxsFg" TargetMode="External"/><Relationship Id="rId61" Type="http://schemas.openxmlformats.org/officeDocument/2006/relationships/hyperlink" Target="mailto:a.s.parker0106@gmail.com" TargetMode="External"/><Relationship Id="rId64" Type="http://schemas.openxmlformats.org/officeDocument/2006/relationships/hyperlink" Target="https://www.google.com/maps/place/Fukukawa/data=!4m2!3m1!19sChIJg0qMHHX3aS4RIQ-EpZZxsFg" TargetMode="External"/><Relationship Id="rId63" Type="http://schemas.openxmlformats.org/officeDocument/2006/relationships/hyperlink" Target="mailto:a.s.parker0106@gmail.com" TargetMode="External"/><Relationship Id="rId66" Type="http://schemas.openxmlformats.org/officeDocument/2006/relationships/hyperlink" Target="https://www.google.com/maps/place/Fukukawa/data=!4m2!3m1!19sChIJg0qMHHX3aS4RIQ-EpZZxsFg" TargetMode="External"/><Relationship Id="rId65" Type="http://schemas.openxmlformats.org/officeDocument/2006/relationships/hyperlink" Target="mailto:a.s.parker0106@gmail.com" TargetMode="External"/><Relationship Id="rId68" Type="http://schemas.openxmlformats.org/officeDocument/2006/relationships/hyperlink" Target="https://www.google.com/maps/place/Fukukawa/data=!4m2!3m1!19sChIJg0qMHHX3aS4RIQ-EpZZxsFg" TargetMode="External"/><Relationship Id="rId67" Type="http://schemas.openxmlformats.org/officeDocument/2006/relationships/hyperlink" Target="mailto:a.s.parker0106@gmail.com" TargetMode="External"/><Relationship Id="rId60" Type="http://schemas.openxmlformats.org/officeDocument/2006/relationships/hyperlink" Target="https://www.google.com/maps/place/Fukukawa/data=!4m2!3m1!19sChIJg0qMHHX3aS4RIQ-EpZZxsFg" TargetMode="External"/><Relationship Id="rId69" Type="http://schemas.openxmlformats.org/officeDocument/2006/relationships/hyperlink" Target="mailto:a.s.parker0106@gmail.com" TargetMode="External"/><Relationship Id="rId51" Type="http://schemas.openxmlformats.org/officeDocument/2006/relationships/hyperlink" Target="mailto:a.s.parker0106@gmail.com" TargetMode="External"/><Relationship Id="rId50" Type="http://schemas.openxmlformats.org/officeDocument/2006/relationships/hyperlink" Target="https://www.google.com/maps/place/Sendai/data=!4m2!3m1!19sChIJ01XNMO4qil8R7rFGuOB5Jbo" TargetMode="External"/><Relationship Id="rId53" Type="http://schemas.openxmlformats.org/officeDocument/2006/relationships/hyperlink" Target="mailto:a.s.parker0106@gmail.com" TargetMode="External"/><Relationship Id="rId52" Type="http://schemas.openxmlformats.org/officeDocument/2006/relationships/hyperlink" Target="https://www.google.com/maps/place/Sendai/data=!4m2!3m1!19sChIJ01XNMO4qil8R7rFGuOB5Jbo" TargetMode="External"/><Relationship Id="rId55" Type="http://schemas.openxmlformats.org/officeDocument/2006/relationships/hyperlink" Target="mailto:a.s.parker0106@gmail.com" TargetMode="External"/><Relationship Id="rId54" Type="http://schemas.openxmlformats.org/officeDocument/2006/relationships/hyperlink" Target="https://www.google.com/maps/place/Sendai/data=!4m2!3m1!19sChIJ01XNMO4qil8R7rFGuOB5Jbo" TargetMode="External"/><Relationship Id="rId57" Type="http://schemas.openxmlformats.org/officeDocument/2006/relationships/hyperlink" Target="mailto:a.s.parker0106@gmail.com" TargetMode="External"/><Relationship Id="rId56" Type="http://schemas.openxmlformats.org/officeDocument/2006/relationships/hyperlink" Target="https://www.google.com/maps/place/Sendai/data=!4m2!3m1!19sChIJ01XNMO4qil8R7rFGuOB5Jbo" TargetMode="External"/><Relationship Id="rId59" Type="http://schemas.openxmlformats.org/officeDocument/2006/relationships/hyperlink" Target="mailto:a.s.parker0106@gmail.com" TargetMode="External"/><Relationship Id="rId58" Type="http://schemas.openxmlformats.org/officeDocument/2006/relationships/hyperlink" Target="https://www.google.com/maps/place/Fukukawa/data=!4m2!3m1!19sChIJg0qMHHX3aS4RIQ-EpZZxsFg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mailto:a.s.parker0106@gmail.com" TargetMode="External"/><Relationship Id="rId42" Type="http://schemas.openxmlformats.org/officeDocument/2006/relationships/hyperlink" Target="mailto:a.s.parker0106@gmail.com" TargetMode="External"/><Relationship Id="rId41" Type="http://schemas.openxmlformats.org/officeDocument/2006/relationships/hyperlink" Target="mailto:a.s.parker0106@gmail.com" TargetMode="External"/><Relationship Id="rId44" Type="http://schemas.openxmlformats.org/officeDocument/2006/relationships/hyperlink" Target="mailto:a.s.parker0106@gmail.com" TargetMode="External"/><Relationship Id="rId43" Type="http://schemas.openxmlformats.org/officeDocument/2006/relationships/hyperlink" Target="mailto:a.s.parker0106@gmail.com" TargetMode="External"/><Relationship Id="rId46" Type="http://schemas.openxmlformats.org/officeDocument/2006/relationships/hyperlink" Target="mailto:a.s.parker0106@gmail.com" TargetMode="External"/><Relationship Id="rId45" Type="http://schemas.openxmlformats.org/officeDocument/2006/relationships/hyperlink" Target="mailto:a.s.parker0106@gmail.com" TargetMode="External"/><Relationship Id="rId48" Type="http://schemas.openxmlformats.org/officeDocument/2006/relationships/hyperlink" Target="mailto:a.s.parker0106@gmail.com" TargetMode="External"/><Relationship Id="rId47" Type="http://schemas.openxmlformats.org/officeDocument/2006/relationships/hyperlink" Target="mailto:a.s.parker0106@gmail.com" TargetMode="External"/><Relationship Id="rId49" Type="http://schemas.openxmlformats.org/officeDocument/2006/relationships/hyperlink" Target="mailto:a.s.parker0106@gmail.com" TargetMode="External"/><Relationship Id="rId31" Type="http://schemas.openxmlformats.org/officeDocument/2006/relationships/hyperlink" Target="mailto:a.s.parker0106@gmail.com" TargetMode="External"/><Relationship Id="rId30" Type="http://schemas.openxmlformats.org/officeDocument/2006/relationships/hyperlink" Target="mailto:a.s.parker0106@gmail.com" TargetMode="External"/><Relationship Id="rId33" Type="http://schemas.openxmlformats.org/officeDocument/2006/relationships/hyperlink" Target="mailto:a.s.parker0106@gmail.com" TargetMode="External"/><Relationship Id="rId32" Type="http://schemas.openxmlformats.org/officeDocument/2006/relationships/hyperlink" Target="mailto:a.s.parker0106@gmail.com" TargetMode="External"/><Relationship Id="rId35" Type="http://schemas.openxmlformats.org/officeDocument/2006/relationships/hyperlink" Target="mailto:a.s.parker0106@gmail.com" TargetMode="External"/><Relationship Id="rId34" Type="http://schemas.openxmlformats.org/officeDocument/2006/relationships/hyperlink" Target="mailto:a.s.parker0106@gmail.com" TargetMode="External"/><Relationship Id="rId37" Type="http://schemas.openxmlformats.org/officeDocument/2006/relationships/hyperlink" Target="mailto:a.s.parker0106@gmail.com" TargetMode="External"/><Relationship Id="rId36" Type="http://schemas.openxmlformats.org/officeDocument/2006/relationships/hyperlink" Target="mailto:a.s.parker0106@gmail.com" TargetMode="External"/><Relationship Id="rId39" Type="http://schemas.openxmlformats.org/officeDocument/2006/relationships/hyperlink" Target="mailto:a.s.parker0106@gmail.com" TargetMode="External"/><Relationship Id="rId38" Type="http://schemas.openxmlformats.org/officeDocument/2006/relationships/hyperlink" Target="mailto:a.s.parker0106@gmail.com" TargetMode="External"/><Relationship Id="rId20" Type="http://schemas.openxmlformats.org/officeDocument/2006/relationships/hyperlink" Target="mailto:a.s.parker0106@gmail.com" TargetMode="External"/><Relationship Id="rId22" Type="http://schemas.openxmlformats.org/officeDocument/2006/relationships/hyperlink" Target="mailto:a.s.parker0106@gmail.com" TargetMode="External"/><Relationship Id="rId21" Type="http://schemas.openxmlformats.org/officeDocument/2006/relationships/hyperlink" Target="mailto:a.s.parker0106@gmail.com" TargetMode="External"/><Relationship Id="rId24" Type="http://schemas.openxmlformats.org/officeDocument/2006/relationships/hyperlink" Target="mailto:a.s.parker0106@gmail.com" TargetMode="External"/><Relationship Id="rId23" Type="http://schemas.openxmlformats.org/officeDocument/2006/relationships/hyperlink" Target="https://www.google.com/maps/place/%E6%B5%B7%E5%B1%8BCafe/data=!4m2!3m1!19sChIJE_BOPe40aDQRsQkAadUfyXM" TargetMode="External"/><Relationship Id="rId26" Type="http://schemas.openxmlformats.org/officeDocument/2006/relationships/hyperlink" Target="mailto:a.s.parker0106@gmail.com" TargetMode="External"/><Relationship Id="rId25" Type="http://schemas.openxmlformats.org/officeDocument/2006/relationships/hyperlink" Target="https://www.google.com/maps/place/%E5%A4%A7%E6%BD%A4%E7%99%BC%E6%96%B0%E7%AB%B9%E5%BF%A0%E5%AD%9D%E5%BA%97/data=!4m2!3m1!19sChIJwQfX1Ng1aDQR2v355eG3M6s" TargetMode="External"/><Relationship Id="rId28" Type="http://schemas.openxmlformats.org/officeDocument/2006/relationships/hyperlink" Target="mailto:a.s.parker0106@gmail.com" TargetMode="External"/><Relationship Id="rId27" Type="http://schemas.openxmlformats.org/officeDocument/2006/relationships/hyperlink" Target="mailto:a.s.parker0106@gmail.com" TargetMode="External"/><Relationship Id="rId29" Type="http://schemas.openxmlformats.org/officeDocument/2006/relationships/hyperlink" Target="mailto:a.s.parker0106@gmail.com" TargetMode="External"/><Relationship Id="rId11" Type="http://schemas.openxmlformats.org/officeDocument/2006/relationships/hyperlink" Target="mailto:a.s.parker0106@gmail.com" TargetMode="External"/><Relationship Id="rId10" Type="http://schemas.openxmlformats.org/officeDocument/2006/relationships/hyperlink" Target="mailto:a.s.parker0106@gmail.com" TargetMode="External"/><Relationship Id="rId13" Type="http://schemas.openxmlformats.org/officeDocument/2006/relationships/hyperlink" Target="mailto:a.s.parker0106@gmail.com" TargetMode="External"/><Relationship Id="rId12" Type="http://schemas.openxmlformats.org/officeDocument/2006/relationships/hyperlink" Target="mailto:a.s.parker0106@gmail.com" TargetMode="External"/><Relationship Id="rId15" Type="http://schemas.openxmlformats.org/officeDocument/2006/relationships/hyperlink" Target="mailto:a.s.parker0106@gmail.com" TargetMode="External"/><Relationship Id="rId14" Type="http://schemas.openxmlformats.org/officeDocument/2006/relationships/hyperlink" Target="mailto:a.s.parker0106@gmail.com" TargetMode="External"/><Relationship Id="rId17" Type="http://schemas.openxmlformats.org/officeDocument/2006/relationships/hyperlink" Target="mailto:a.s.parker0106@gmail.com" TargetMode="External"/><Relationship Id="rId16" Type="http://schemas.openxmlformats.org/officeDocument/2006/relationships/hyperlink" Target="mailto:a.s.parker0106@gmail.com" TargetMode="External"/><Relationship Id="rId19" Type="http://schemas.openxmlformats.org/officeDocument/2006/relationships/hyperlink" Target="mailto:a.s.parker0106@gmail.com" TargetMode="External"/><Relationship Id="rId18" Type="http://schemas.openxmlformats.org/officeDocument/2006/relationships/hyperlink" Target="mailto:a.s.parker0106@gmail.com" TargetMode="External"/><Relationship Id="rId83" Type="http://schemas.openxmlformats.org/officeDocument/2006/relationships/drawing" Target="../drawings/drawing5.xml"/><Relationship Id="rId85" Type="http://schemas.openxmlformats.org/officeDocument/2006/relationships/table" Target="../tables/table5.xml"/><Relationship Id="rId80" Type="http://schemas.openxmlformats.org/officeDocument/2006/relationships/hyperlink" Target="mailto:a.s.parker0106@gmail.com" TargetMode="External"/><Relationship Id="rId82" Type="http://schemas.openxmlformats.org/officeDocument/2006/relationships/hyperlink" Target="mailto:a.s.parker0106@gmail.com" TargetMode="External"/><Relationship Id="rId81" Type="http://schemas.openxmlformats.org/officeDocument/2006/relationships/hyperlink" Target="mailto:a.s.parker0106@gmail.com" TargetMode="External"/><Relationship Id="rId1" Type="http://schemas.openxmlformats.org/officeDocument/2006/relationships/hyperlink" Target="mailto:a.s.parker0106@gmail.com" TargetMode="External"/><Relationship Id="rId2" Type="http://schemas.openxmlformats.org/officeDocument/2006/relationships/hyperlink" Target="mailto:a.s.parker0106@gmail.com" TargetMode="External"/><Relationship Id="rId3" Type="http://schemas.openxmlformats.org/officeDocument/2006/relationships/hyperlink" Target="mailto:a.s.parker0106@gmail.com" TargetMode="External"/><Relationship Id="rId4" Type="http://schemas.openxmlformats.org/officeDocument/2006/relationships/hyperlink" Target="mailto:a.s.parker0106@gmail.com" TargetMode="External"/><Relationship Id="rId9" Type="http://schemas.openxmlformats.org/officeDocument/2006/relationships/hyperlink" Target="mailto:cynical07@gmail.com" TargetMode="External"/><Relationship Id="rId5" Type="http://schemas.openxmlformats.org/officeDocument/2006/relationships/hyperlink" Target="mailto:a.s.parker0106@gmail.com" TargetMode="External"/><Relationship Id="rId6" Type="http://schemas.openxmlformats.org/officeDocument/2006/relationships/hyperlink" Target="mailto:a.s.parker0106@gmail.com" TargetMode="External"/><Relationship Id="rId7" Type="http://schemas.openxmlformats.org/officeDocument/2006/relationships/hyperlink" Target="mailto:a.s.parker0106@gmail.com" TargetMode="External"/><Relationship Id="rId8" Type="http://schemas.openxmlformats.org/officeDocument/2006/relationships/hyperlink" Target="mailto:a.s.parker0106@gmail.com" TargetMode="External"/><Relationship Id="rId73" Type="http://schemas.openxmlformats.org/officeDocument/2006/relationships/hyperlink" Target="mailto:a.s.parker0106@gmail.com" TargetMode="External"/><Relationship Id="rId72" Type="http://schemas.openxmlformats.org/officeDocument/2006/relationships/hyperlink" Target="mailto:a.s.parker0106@gmail.com" TargetMode="External"/><Relationship Id="rId75" Type="http://schemas.openxmlformats.org/officeDocument/2006/relationships/hyperlink" Target="mailto:a.s.parker0106@gmail.com" TargetMode="External"/><Relationship Id="rId74" Type="http://schemas.openxmlformats.org/officeDocument/2006/relationships/hyperlink" Target="mailto:a.s.parker0106@gmail.com" TargetMode="External"/><Relationship Id="rId77" Type="http://schemas.openxmlformats.org/officeDocument/2006/relationships/hyperlink" Target="mailto:a.s.parker0106@gmail.com" TargetMode="External"/><Relationship Id="rId76" Type="http://schemas.openxmlformats.org/officeDocument/2006/relationships/hyperlink" Target="mailto:a.s.parker0106@gmail.com" TargetMode="External"/><Relationship Id="rId79" Type="http://schemas.openxmlformats.org/officeDocument/2006/relationships/hyperlink" Target="mailto:a.s.parker0106@gmail.com" TargetMode="External"/><Relationship Id="rId78" Type="http://schemas.openxmlformats.org/officeDocument/2006/relationships/hyperlink" Target="mailto:a.s.parker0106@gmail.com" TargetMode="External"/><Relationship Id="rId71" Type="http://schemas.openxmlformats.org/officeDocument/2006/relationships/hyperlink" Target="mailto:a.s.parker0106@gmail.com" TargetMode="External"/><Relationship Id="rId70" Type="http://schemas.openxmlformats.org/officeDocument/2006/relationships/hyperlink" Target="mailto:a.s.parker0106@gmail.com" TargetMode="External"/><Relationship Id="rId62" Type="http://schemas.openxmlformats.org/officeDocument/2006/relationships/hyperlink" Target="mailto:a.s.parker0106@gmail.com" TargetMode="External"/><Relationship Id="rId61" Type="http://schemas.openxmlformats.org/officeDocument/2006/relationships/hyperlink" Target="mailto:a.s.parker0106@gmail.com" TargetMode="External"/><Relationship Id="rId64" Type="http://schemas.openxmlformats.org/officeDocument/2006/relationships/hyperlink" Target="mailto:a.s.parker0106@gmail.com" TargetMode="External"/><Relationship Id="rId63" Type="http://schemas.openxmlformats.org/officeDocument/2006/relationships/hyperlink" Target="mailto:a.s.parker0106@gmail.com" TargetMode="External"/><Relationship Id="rId66" Type="http://schemas.openxmlformats.org/officeDocument/2006/relationships/hyperlink" Target="mailto:a.s.parker0106@gmail.com" TargetMode="External"/><Relationship Id="rId65" Type="http://schemas.openxmlformats.org/officeDocument/2006/relationships/hyperlink" Target="mailto:a.s.parker0106@gmail.com" TargetMode="External"/><Relationship Id="rId68" Type="http://schemas.openxmlformats.org/officeDocument/2006/relationships/hyperlink" Target="mailto:a.s.parker0106@gmail.com" TargetMode="External"/><Relationship Id="rId67" Type="http://schemas.openxmlformats.org/officeDocument/2006/relationships/hyperlink" Target="mailto:a.s.parker0106@gmail.com" TargetMode="External"/><Relationship Id="rId60" Type="http://schemas.openxmlformats.org/officeDocument/2006/relationships/hyperlink" Target="mailto:a.s.parker0106@gmail.com" TargetMode="External"/><Relationship Id="rId69" Type="http://schemas.openxmlformats.org/officeDocument/2006/relationships/hyperlink" Target="mailto:a.s.parker0106@gmail.com" TargetMode="External"/><Relationship Id="rId51" Type="http://schemas.openxmlformats.org/officeDocument/2006/relationships/hyperlink" Target="mailto:a.s.parker0106@gmail.com" TargetMode="External"/><Relationship Id="rId50" Type="http://schemas.openxmlformats.org/officeDocument/2006/relationships/hyperlink" Target="mailto:a.s.parker0106@gmail.com" TargetMode="External"/><Relationship Id="rId53" Type="http://schemas.openxmlformats.org/officeDocument/2006/relationships/hyperlink" Target="mailto:a.s.parker0106@gmail.com" TargetMode="External"/><Relationship Id="rId52" Type="http://schemas.openxmlformats.org/officeDocument/2006/relationships/hyperlink" Target="mailto:a.s.parker0106@gmail.com" TargetMode="External"/><Relationship Id="rId55" Type="http://schemas.openxmlformats.org/officeDocument/2006/relationships/hyperlink" Target="mailto:a.s.parker0106@gmail.com" TargetMode="External"/><Relationship Id="rId54" Type="http://schemas.openxmlformats.org/officeDocument/2006/relationships/hyperlink" Target="mailto:a.s.parker0106@gmail.com" TargetMode="External"/><Relationship Id="rId57" Type="http://schemas.openxmlformats.org/officeDocument/2006/relationships/hyperlink" Target="mailto:a.s.parker0106@gmail.com" TargetMode="External"/><Relationship Id="rId56" Type="http://schemas.openxmlformats.org/officeDocument/2006/relationships/hyperlink" Target="mailto:a.s.parker0106@gmail.com" TargetMode="External"/><Relationship Id="rId59" Type="http://schemas.openxmlformats.org/officeDocument/2006/relationships/hyperlink" Target="mailto:a.s.parker0106@gmail.com" TargetMode="External"/><Relationship Id="rId58" Type="http://schemas.openxmlformats.org/officeDocument/2006/relationships/hyperlink" Target="mailto:a.s.parker0106@gmail.com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mailto:a.s.parker0106@gmail.com" TargetMode="External"/><Relationship Id="rId42" Type="http://schemas.openxmlformats.org/officeDocument/2006/relationships/hyperlink" Target="mailto:a.s.parker0106@gmail.com" TargetMode="External"/><Relationship Id="rId41" Type="http://schemas.openxmlformats.org/officeDocument/2006/relationships/hyperlink" Target="mailto:a.s.parker0106@gmail.com" TargetMode="External"/><Relationship Id="rId44" Type="http://schemas.openxmlformats.org/officeDocument/2006/relationships/hyperlink" Target="mailto:a.s.parker0106@gmail.com" TargetMode="External"/><Relationship Id="rId43" Type="http://schemas.openxmlformats.org/officeDocument/2006/relationships/hyperlink" Target="mailto:a.s.parker0106@gmail.com" TargetMode="External"/><Relationship Id="rId46" Type="http://schemas.openxmlformats.org/officeDocument/2006/relationships/hyperlink" Target="mailto:a.s.parker0106@gmail.com" TargetMode="External"/><Relationship Id="rId45" Type="http://schemas.openxmlformats.org/officeDocument/2006/relationships/hyperlink" Target="mailto:a.s.parker0106@gmail.com" TargetMode="External"/><Relationship Id="rId106" Type="http://schemas.openxmlformats.org/officeDocument/2006/relationships/table" Target="../tables/table6.xml"/><Relationship Id="rId104" Type="http://schemas.openxmlformats.org/officeDocument/2006/relationships/drawing" Target="../drawings/drawing6.xml"/><Relationship Id="rId48" Type="http://schemas.openxmlformats.org/officeDocument/2006/relationships/hyperlink" Target="mailto:a.s.parker0106@gmail.com" TargetMode="External"/><Relationship Id="rId47" Type="http://schemas.openxmlformats.org/officeDocument/2006/relationships/hyperlink" Target="mailto:a.s.parker0106@gmail.com" TargetMode="External"/><Relationship Id="rId49" Type="http://schemas.openxmlformats.org/officeDocument/2006/relationships/hyperlink" Target="mailto:a.s.parker0106@gmail.com" TargetMode="External"/><Relationship Id="rId103" Type="http://schemas.openxmlformats.org/officeDocument/2006/relationships/hyperlink" Target="https://www.google.com/maps/place/%E5%8C%97%E6%B5%B7%E9%81%93/data=!4m2!3m1!19sChIJi4hsnyBZn18RjwPOT1bDPBw" TargetMode="External"/><Relationship Id="rId102" Type="http://schemas.openxmlformats.org/officeDocument/2006/relationships/hyperlink" Target="mailto:cynical07@gmail.com" TargetMode="External"/><Relationship Id="rId101" Type="http://schemas.openxmlformats.org/officeDocument/2006/relationships/hyperlink" Target="https://www.google.com/maps/place/%E5%8C%97%E6%B5%B7%E9%81%93/data=!4m2!3m1!19sChIJi4hsnyBZn18RjwPOT1bDPBw" TargetMode="External"/><Relationship Id="rId100" Type="http://schemas.openxmlformats.org/officeDocument/2006/relationships/hyperlink" Target="mailto:a.s.parker0106@gmail.com" TargetMode="External"/><Relationship Id="rId31" Type="http://schemas.openxmlformats.org/officeDocument/2006/relationships/hyperlink" Target="mailto:a.s.parker0106@gmail.com" TargetMode="External"/><Relationship Id="rId30" Type="http://schemas.openxmlformats.org/officeDocument/2006/relationships/hyperlink" Target="mailto:a.s.parker0106@gmail.com" TargetMode="External"/><Relationship Id="rId33" Type="http://schemas.openxmlformats.org/officeDocument/2006/relationships/hyperlink" Target="mailto:a.s.parker0106@gmail.com" TargetMode="External"/><Relationship Id="rId32" Type="http://schemas.openxmlformats.org/officeDocument/2006/relationships/hyperlink" Target="mailto:a.s.parker0106@gmail.com" TargetMode="External"/><Relationship Id="rId35" Type="http://schemas.openxmlformats.org/officeDocument/2006/relationships/hyperlink" Target="mailto:a.s.parker0106@gmail.com" TargetMode="External"/><Relationship Id="rId34" Type="http://schemas.openxmlformats.org/officeDocument/2006/relationships/hyperlink" Target="mailto:a.s.parker0106@gmail.com" TargetMode="External"/><Relationship Id="rId37" Type="http://schemas.openxmlformats.org/officeDocument/2006/relationships/hyperlink" Target="mailto:a.s.parker0106@gmail.com" TargetMode="External"/><Relationship Id="rId36" Type="http://schemas.openxmlformats.org/officeDocument/2006/relationships/hyperlink" Target="mailto:a.s.parker0106@gmail.com" TargetMode="External"/><Relationship Id="rId39" Type="http://schemas.openxmlformats.org/officeDocument/2006/relationships/hyperlink" Target="mailto:a.s.parker0106@gmail.com" TargetMode="External"/><Relationship Id="rId38" Type="http://schemas.openxmlformats.org/officeDocument/2006/relationships/hyperlink" Target="mailto:a.s.parker0106@gmail.com" TargetMode="External"/><Relationship Id="rId20" Type="http://schemas.openxmlformats.org/officeDocument/2006/relationships/hyperlink" Target="mailto:a.s.parker0106@gmail.com" TargetMode="External"/><Relationship Id="rId22" Type="http://schemas.openxmlformats.org/officeDocument/2006/relationships/hyperlink" Target="mailto:a.s.parker0106@gmail.com" TargetMode="External"/><Relationship Id="rId21" Type="http://schemas.openxmlformats.org/officeDocument/2006/relationships/hyperlink" Target="mailto:a.s.parker0106@gmail.com" TargetMode="External"/><Relationship Id="rId24" Type="http://schemas.openxmlformats.org/officeDocument/2006/relationships/hyperlink" Target="mailto:a.s.parker0106@gmail.com" TargetMode="External"/><Relationship Id="rId23" Type="http://schemas.openxmlformats.org/officeDocument/2006/relationships/hyperlink" Target="mailto:a.s.parker0106@gmail.com" TargetMode="External"/><Relationship Id="rId26" Type="http://schemas.openxmlformats.org/officeDocument/2006/relationships/hyperlink" Target="mailto:a.s.parker0106@gmail.com" TargetMode="External"/><Relationship Id="rId25" Type="http://schemas.openxmlformats.org/officeDocument/2006/relationships/hyperlink" Target="mailto:a.s.parker0106@gmail.com" TargetMode="External"/><Relationship Id="rId28" Type="http://schemas.openxmlformats.org/officeDocument/2006/relationships/hyperlink" Target="mailto:a.s.parker0106@gmail.com" TargetMode="External"/><Relationship Id="rId27" Type="http://schemas.openxmlformats.org/officeDocument/2006/relationships/hyperlink" Target="mailto:a.s.parker0106@gmail.com" TargetMode="External"/><Relationship Id="rId29" Type="http://schemas.openxmlformats.org/officeDocument/2006/relationships/hyperlink" Target="mailto:cynical07@gmail.com" TargetMode="External"/><Relationship Id="rId95" Type="http://schemas.openxmlformats.org/officeDocument/2006/relationships/hyperlink" Target="https://www.google.com/maps/place/%E5%8C%97%E6%B5%B7%E9%81%93/data=!4m2!3m1!19sChIJi4hsnyBZn18RjwPOT1bDPBw" TargetMode="External"/><Relationship Id="rId94" Type="http://schemas.openxmlformats.org/officeDocument/2006/relationships/hyperlink" Target="mailto:a.s.parker0106@gmail.com" TargetMode="External"/><Relationship Id="rId97" Type="http://schemas.openxmlformats.org/officeDocument/2006/relationships/hyperlink" Target="https://www.google.com/maps/place/%E5%8C%97%E6%B5%B7%E9%81%93/data=!4m2!3m1!19sChIJi4hsnyBZn18RjwPOT1bDPBw" TargetMode="External"/><Relationship Id="rId96" Type="http://schemas.openxmlformats.org/officeDocument/2006/relationships/hyperlink" Target="mailto:cynical07@gmail.com" TargetMode="External"/><Relationship Id="rId11" Type="http://schemas.openxmlformats.org/officeDocument/2006/relationships/hyperlink" Target="mailto:a.s.parker0106@gmail.com" TargetMode="External"/><Relationship Id="rId99" Type="http://schemas.openxmlformats.org/officeDocument/2006/relationships/hyperlink" Target="https://www.google.com/maps/place/%E5%8C%97%E6%B5%B7%E9%81%93/data=!4m2!3m1!19sChIJi4hsnyBZn18RjwPOT1bDPBw" TargetMode="External"/><Relationship Id="rId10" Type="http://schemas.openxmlformats.org/officeDocument/2006/relationships/hyperlink" Target="mailto:a.s.parker0106@gmail.com" TargetMode="External"/><Relationship Id="rId98" Type="http://schemas.openxmlformats.org/officeDocument/2006/relationships/hyperlink" Target="mailto:cynical07@gmail.com" TargetMode="External"/><Relationship Id="rId13" Type="http://schemas.openxmlformats.org/officeDocument/2006/relationships/hyperlink" Target="mailto:a.s.parker0106@gmail.com" TargetMode="External"/><Relationship Id="rId12" Type="http://schemas.openxmlformats.org/officeDocument/2006/relationships/hyperlink" Target="mailto:a.s.parker0106@gmail.com" TargetMode="External"/><Relationship Id="rId91" Type="http://schemas.openxmlformats.org/officeDocument/2006/relationships/hyperlink" Target="https://www.google.com/maps/place/%E5%8C%97%E6%B5%B7%E9%81%93/data=!4m2!3m1!19sChIJi4hsnyBZn18RjwPOT1bDPBw" TargetMode="External"/><Relationship Id="rId90" Type="http://schemas.openxmlformats.org/officeDocument/2006/relationships/hyperlink" Target="mailto:a.s.parker0106@gmail.com" TargetMode="External"/><Relationship Id="rId93" Type="http://schemas.openxmlformats.org/officeDocument/2006/relationships/hyperlink" Target="https://www.google.com/maps/place/%E5%8C%97%E6%B5%B7%E9%81%93/data=!4m2!3m1!19sChIJi4hsnyBZn18RjwPOT1bDPBw" TargetMode="External"/><Relationship Id="rId92" Type="http://schemas.openxmlformats.org/officeDocument/2006/relationships/hyperlink" Target="mailto:a.s.parker0106@gmail.com" TargetMode="External"/><Relationship Id="rId15" Type="http://schemas.openxmlformats.org/officeDocument/2006/relationships/hyperlink" Target="mailto:a.s.parker0106@gmail.com" TargetMode="External"/><Relationship Id="rId14" Type="http://schemas.openxmlformats.org/officeDocument/2006/relationships/hyperlink" Target="mailto:a.s.parker0106@gmail.com" TargetMode="External"/><Relationship Id="rId17" Type="http://schemas.openxmlformats.org/officeDocument/2006/relationships/hyperlink" Target="mailto:a.s.parker0106@gmail.com" TargetMode="External"/><Relationship Id="rId16" Type="http://schemas.openxmlformats.org/officeDocument/2006/relationships/hyperlink" Target="mailto:a.s.parker0106@gmail.com" TargetMode="External"/><Relationship Id="rId19" Type="http://schemas.openxmlformats.org/officeDocument/2006/relationships/hyperlink" Target="mailto:a.s.parker0106@gmail.com" TargetMode="External"/><Relationship Id="rId18" Type="http://schemas.openxmlformats.org/officeDocument/2006/relationships/hyperlink" Target="mailto:a.s.parker0106@gmail.com" TargetMode="External"/><Relationship Id="rId84" Type="http://schemas.openxmlformats.org/officeDocument/2006/relationships/hyperlink" Target="mailto:cynical07@gmail.com" TargetMode="External"/><Relationship Id="rId83" Type="http://schemas.openxmlformats.org/officeDocument/2006/relationships/hyperlink" Target="https://www.google.com/maps/place/%E5%8C%97%E6%B5%B7%E9%81%93/data=!4m2!3m1!19sChIJi4hsnyBZn18RjwPOT1bDPBw" TargetMode="External"/><Relationship Id="rId86" Type="http://schemas.openxmlformats.org/officeDocument/2006/relationships/hyperlink" Target="mailto:cynical07@gmail.com" TargetMode="External"/><Relationship Id="rId85" Type="http://schemas.openxmlformats.org/officeDocument/2006/relationships/hyperlink" Target="https://www.google.com/maps/place/%E5%8C%97%E6%B5%B7%E9%81%93/data=!4m2!3m1!19sChIJi4hsnyBZn18RjwPOT1bDPBw" TargetMode="External"/><Relationship Id="rId88" Type="http://schemas.openxmlformats.org/officeDocument/2006/relationships/hyperlink" Target="mailto:cynical07@gmail.com" TargetMode="External"/><Relationship Id="rId87" Type="http://schemas.openxmlformats.org/officeDocument/2006/relationships/hyperlink" Target="https://www.google.com/maps/place/%E5%8C%97%E6%B5%B7%E9%81%93/data=!4m2!3m1!19sChIJi4hsnyBZn18RjwPOT1bDPBw" TargetMode="External"/><Relationship Id="rId89" Type="http://schemas.openxmlformats.org/officeDocument/2006/relationships/hyperlink" Target="https://www.google.com/maps/place/%E5%8C%97%E6%B5%B7%E9%81%93/data=!4m2!3m1!19sChIJi4hsnyBZn18RjwPOT1bDPBw" TargetMode="External"/><Relationship Id="rId80" Type="http://schemas.openxmlformats.org/officeDocument/2006/relationships/hyperlink" Target="mailto:cynical07@gmail.com" TargetMode="External"/><Relationship Id="rId82" Type="http://schemas.openxmlformats.org/officeDocument/2006/relationships/hyperlink" Target="mailto:cynical07@gmail.com" TargetMode="External"/><Relationship Id="rId81" Type="http://schemas.openxmlformats.org/officeDocument/2006/relationships/hyperlink" Target="https://www.google.com/maps/place/%E5%8C%97%E6%B5%B7%E9%81%93/data=!4m2!3m1!19sChIJi4hsnyBZn18RjwPOT1bDPBw" TargetMode="External"/><Relationship Id="rId1" Type="http://schemas.openxmlformats.org/officeDocument/2006/relationships/hyperlink" Target="mailto:a.s.parker0106@gmail.com" TargetMode="External"/><Relationship Id="rId2" Type="http://schemas.openxmlformats.org/officeDocument/2006/relationships/hyperlink" Target="mailto:cynical07@gmail.com" TargetMode="External"/><Relationship Id="rId3" Type="http://schemas.openxmlformats.org/officeDocument/2006/relationships/hyperlink" Target="mailto:a.s.parker0106@gmail.com" TargetMode="External"/><Relationship Id="rId4" Type="http://schemas.openxmlformats.org/officeDocument/2006/relationships/hyperlink" Target="mailto:a.s.parker0106@gmail.com" TargetMode="External"/><Relationship Id="rId9" Type="http://schemas.openxmlformats.org/officeDocument/2006/relationships/hyperlink" Target="mailto:cynical07@gmail.com" TargetMode="External"/><Relationship Id="rId5" Type="http://schemas.openxmlformats.org/officeDocument/2006/relationships/hyperlink" Target="mailto:a.s.parker0106@gmail.com" TargetMode="External"/><Relationship Id="rId6" Type="http://schemas.openxmlformats.org/officeDocument/2006/relationships/hyperlink" Target="mailto:a.s.parker0106@gmail.com" TargetMode="External"/><Relationship Id="rId7" Type="http://schemas.openxmlformats.org/officeDocument/2006/relationships/hyperlink" Target="mailto:a.s.parker0106@gmail.com" TargetMode="External"/><Relationship Id="rId8" Type="http://schemas.openxmlformats.org/officeDocument/2006/relationships/hyperlink" Target="mailto:cynical07@gmail.com" TargetMode="External"/><Relationship Id="rId73" Type="http://schemas.openxmlformats.org/officeDocument/2006/relationships/hyperlink" Target="https://www.google.com/maps/place/%E5%8C%97%E6%B5%B7%E9%81%93/data=!4m2!3m1!19sChIJi4hsnyBZn18RjwPOT1bDPBw" TargetMode="External"/><Relationship Id="rId72" Type="http://schemas.openxmlformats.org/officeDocument/2006/relationships/hyperlink" Target="mailto:a.s.parker0106@gmail.com" TargetMode="External"/><Relationship Id="rId75" Type="http://schemas.openxmlformats.org/officeDocument/2006/relationships/hyperlink" Target="https://www.google.com/maps/place/%E5%8C%97%E6%B5%B7%E9%81%93/data=!4m2!3m1!19sChIJi4hsnyBZn18RjwPOT1bDPBw" TargetMode="External"/><Relationship Id="rId74" Type="http://schemas.openxmlformats.org/officeDocument/2006/relationships/hyperlink" Target="mailto:cynical07@gmail.com" TargetMode="External"/><Relationship Id="rId77" Type="http://schemas.openxmlformats.org/officeDocument/2006/relationships/hyperlink" Target="https://www.google.com/maps/place/%E5%8C%97%E6%B5%B7%E9%81%93/data=!4m2!3m1!19sChIJi4hsnyBZn18RjwPOT1bDPBw" TargetMode="External"/><Relationship Id="rId76" Type="http://schemas.openxmlformats.org/officeDocument/2006/relationships/hyperlink" Target="mailto:cynical07@gmail.com" TargetMode="External"/><Relationship Id="rId79" Type="http://schemas.openxmlformats.org/officeDocument/2006/relationships/hyperlink" Target="https://www.google.com/maps/place/%E5%8C%97%E6%B5%B7%E9%81%93/data=!4m2!3m1!19sChIJi4hsnyBZn18RjwPOT1bDPBw" TargetMode="External"/><Relationship Id="rId78" Type="http://schemas.openxmlformats.org/officeDocument/2006/relationships/hyperlink" Target="mailto:cynical07@gmail.com" TargetMode="External"/><Relationship Id="rId71" Type="http://schemas.openxmlformats.org/officeDocument/2006/relationships/hyperlink" Target="https://www.google.com/maps/place/%E5%8C%97%E6%B5%B7%E9%81%93/data=!4m2!3m1!19sChIJi4hsnyBZn18RjwPOT1bDPBw" TargetMode="External"/><Relationship Id="rId70" Type="http://schemas.openxmlformats.org/officeDocument/2006/relationships/hyperlink" Target="mailto:cynical07@gmail.com" TargetMode="External"/><Relationship Id="rId62" Type="http://schemas.openxmlformats.org/officeDocument/2006/relationships/hyperlink" Target="mailto:cynical07@gmail.com" TargetMode="External"/><Relationship Id="rId61" Type="http://schemas.openxmlformats.org/officeDocument/2006/relationships/hyperlink" Target="https://www.google.com/maps/place/%E5%8C%97%E6%B5%B7%E9%81%93/data=!4m2!3m1!19sChIJi4hsnyBZn18RjwPOT1bDPBw" TargetMode="External"/><Relationship Id="rId64" Type="http://schemas.openxmlformats.org/officeDocument/2006/relationships/hyperlink" Target="mailto:cynical07@gmail.com" TargetMode="External"/><Relationship Id="rId63" Type="http://schemas.openxmlformats.org/officeDocument/2006/relationships/hyperlink" Target="https://www.google.com/maps/place/%E5%8C%97%E6%B5%B7%E9%81%93/data=!4m2!3m1!19sChIJi4hsnyBZn18RjwPOT1bDPBw" TargetMode="External"/><Relationship Id="rId66" Type="http://schemas.openxmlformats.org/officeDocument/2006/relationships/hyperlink" Target="mailto:cynical07@gmail.com" TargetMode="External"/><Relationship Id="rId65" Type="http://schemas.openxmlformats.org/officeDocument/2006/relationships/hyperlink" Target="https://www.google.com/maps/place/%E5%8C%97%E6%B5%B7%E9%81%93/data=!4m2!3m1!19sChIJi4hsnyBZn18RjwPOT1bDPBw" TargetMode="External"/><Relationship Id="rId68" Type="http://schemas.openxmlformats.org/officeDocument/2006/relationships/hyperlink" Target="mailto:cynical07@gmail.com" TargetMode="External"/><Relationship Id="rId67" Type="http://schemas.openxmlformats.org/officeDocument/2006/relationships/hyperlink" Target="https://www.google.com/maps/place/%E5%8C%97%E6%B5%B7%E9%81%93/data=!4m2!3m1!19sChIJi4hsnyBZn18RjwPOT1bDPBw" TargetMode="External"/><Relationship Id="rId60" Type="http://schemas.openxmlformats.org/officeDocument/2006/relationships/hyperlink" Target="mailto:cynical07@gmail.com" TargetMode="External"/><Relationship Id="rId69" Type="http://schemas.openxmlformats.org/officeDocument/2006/relationships/hyperlink" Target="https://www.google.com/maps/place/%E5%8C%97%E6%B5%B7%E9%81%93/data=!4m2!3m1!19sChIJi4hsnyBZn18RjwPOT1bDPBw" TargetMode="External"/><Relationship Id="rId51" Type="http://schemas.openxmlformats.org/officeDocument/2006/relationships/hyperlink" Target="mailto:a.s.parker0106@gmail.com" TargetMode="External"/><Relationship Id="rId50" Type="http://schemas.openxmlformats.org/officeDocument/2006/relationships/hyperlink" Target="mailto:a.s.parker0106@gmail.com" TargetMode="External"/><Relationship Id="rId53" Type="http://schemas.openxmlformats.org/officeDocument/2006/relationships/hyperlink" Target="mailto:a.s.parker0106@gmail.com" TargetMode="External"/><Relationship Id="rId52" Type="http://schemas.openxmlformats.org/officeDocument/2006/relationships/hyperlink" Target="mailto:a.s.parker0106@gmail.com" TargetMode="External"/><Relationship Id="rId55" Type="http://schemas.openxmlformats.org/officeDocument/2006/relationships/hyperlink" Target="mailto:cynical07@gmail.com" TargetMode="External"/><Relationship Id="rId54" Type="http://schemas.openxmlformats.org/officeDocument/2006/relationships/hyperlink" Target="mailto:a.s.parker0106@gmail.com" TargetMode="External"/><Relationship Id="rId57" Type="http://schemas.openxmlformats.org/officeDocument/2006/relationships/hyperlink" Target="https://www.google.com/maps/place/%E5%8C%97%E6%B5%B7%E9%81%93/data=!4m2!3m1!19sChIJi4hsnyBZn18RjwPOT1bDPBw" TargetMode="External"/><Relationship Id="rId56" Type="http://schemas.openxmlformats.org/officeDocument/2006/relationships/hyperlink" Target="mailto:cynical07@gmail.com" TargetMode="External"/><Relationship Id="rId59" Type="http://schemas.openxmlformats.org/officeDocument/2006/relationships/hyperlink" Target="https://www.google.com/maps/place/%E5%8C%97%E6%B5%B7%E9%81%93/data=!4m2!3m1!19sChIJi4hsnyBZn18RjwPOT1bDPBw" TargetMode="External"/><Relationship Id="rId58" Type="http://schemas.openxmlformats.org/officeDocument/2006/relationships/hyperlink" Target="mailto:cynical07@gmail.com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mailto:cynical07@gmail.com" TargetMode="External"/><Relationship Id="rId42" Type="http://schemas.openxmlformats.org/officeDocument/2006/relationships/hyperlink" Target="mailto:a.s.parker0106@gmail.com" TargetMode="External"/><Relationship Id="rId41" Type="http://schemas.openxmlformats.org/officeDocument/2006/relationships/hyperlink" Target="https://www.google.com/maps/place/%E5%8C%97%E6%B5%B7%E9%81%93/data=!4m2!3m1!19sChIJi4hsnyBZn18RjwPOT1bDPBw" TargetMode="External"/><Relationship Id="rId44" Type="http://schemas.openxmlformats.org/officeDocument/2006/relationships/hyperlink" Target="mailto:cynical07@gmail.com" TargetMode="External"/><Relationship Id="rId43" Type="http://schemas.openxmlformats.org/officeDocument/2006/relationships/hyperlink" Target="https://www.google.com/maps/place/%E5%8C%97%E6%B5%B7%E9%81%93/data=!4m2!3m1!19sChIJi4hsnyBZn18RjwPOT1bDPBw" TargetMode="External"/><Relationship Id="rId46" Type="http://schemas.openxmlformats.org/officeDocument/2006/relationships/hyperlink" Target="mailto:cynical07@gmail.com" TargetMode="External"/><Relationship Id="rId45" Type="http://schemas.openxmlformats.org/officeDocument/2006/relationships/hyperlink" Target="https://www.google.com/maps/place/%E5%8C%97%E6%B5%B7%E9%81%93/data=!4m2!3m1!19sChIJi4hsnyBZn18RjwPOT1bDPBw" TargetMode="External"/><Relationship Id="rId107" Type="http://schemas.openxmlformats.org/officeDocument/2006/relationships/hyperlink" Target="mailto:a.s.parker0106@gmail.com" TargetMode="External"/><Relationship Id="rId106" Type="http://schemas.openxmlformats.org/officeDocument/2006/relationships/hyperlink" Target="mailto:a.s.parker0106@gmail.com" TargetMode="External"/><Relationship Id="rId105" Type="http://schemas.openxmlformats.org/officeDocument/2006/relationships/hyperlink" Target="mailto:a.s.parker0106@gmail.com" TargetMode="External"/><Relationship Id="rId104" Type="http://schemas.openxmlformats.org/officeDocument/2006/relationships/hyperlink" Target="mailto:a.s.parker0106@gmail.com" TargetMode="External"/><Relationship Id="rId109" Type="http://schemas.openxmlformats.org/officeDocument/2006/relationships/hyperlink" Target="mailto:a.s.parker0106@gmail.com" TargetMode="External"/><Relationship Id="rId108" Type="http://schemas.openxmlformats.org/officeDocument/2006/relationships/hyperlink" Target="mailto:a.s.parker0106@gmail.com" TargetMode="External"/><Relationship Id="rId48" Type="http://schemas.openxmlformats.org/officeDocument/2006/relationships/hyperlink" Target="mailto:a.s.parker0106@gmail.com" TargetMode="External"/><Relationship Id="rId47" Type="http://schemas.openxmlformats.org/officeDocument/2006/relationships/hyperlink" Target="https://www.google.com/maps/place/%E5%8C%97%E6%B5%B7%E9%81%93/data=!4m2!3m1!19sChIJi4hsnyBZn18RjwPOT1bDPBw" TargetMode="External"/><Relationship Id="rId49" Type="http://schemas.openxmlformats.org/officeDocument/2006/relationships/hyperlink" Target="https://www.google.com/maps/place/Osaka/data=!4m2!3m1!19sChIJ4eIGNFXmAGAR5y9q5G7BW8U" TargetMode="External"/><Relationship Id="rId103" Type="http://schemas.openxmlformats.org/officeDocument/2006/relationships/hyperlink" Target="mailto:a.s.parker0106@gmail.com" TargetMode="External"/><Relationship Id="rId102" Type="http://schemas.openxmlformats.org/officeDocument/2006/relationships/hyperlink" Target="mailto:a.s.parker0106@gmail.com" TargetMode="External"/><Relationship Id="rId101" Type="http://schemas.openxmlformats.org/officeDocument/2006/relationships/hyperlink" Target="mailto:a.s.parker0106@gmail.com" TargetMode="External"/><Relationship Id="rId100" Type="http://schemas.openxmlformats.org/officeDocument/2006/relationships/hyperlink" Target="mailto:a.s.parker0106@gmail.com" TargetMode="External"/><Relationship Id="rId31" Type="http://schemas.openxmlformats.org/officeDocument/2006/relationships/hyperlink" Target="https://www.google.com/maps/place/%E5%8C%97%E6%B5%B7%E9%81%93/data=!4m2!3m1!19sChIJi4hsnyBZn18RjwPOT1bDPBw" TargetMode="External"/><Relationship Id="rId30" Type="http://schemas.openxmlformats.org/officeDocument/2006/relationships/hyperlink" Target="mailto:cynical07@gmail.com" TargetMode="External"/><Relationship Id="rId33" Type="http://schemas.openxmlformats.org/officeDocument/2006/relationships/hyperlink" Target="https://www.google.com/maps/place/%E5%8C%97%E6%B5%B7%E9%81%93/data=!4m2!3m1!19sChIJi4hsnyBZn18RjwPOT1bDPBw" TargetMode="External"/><Relationship Id="rId32" Type="http://schemas.openxmlformats.org/officeDocument/2006/relationships/hyperlink" Target="mailto:a.s.parker0106@gmail.com" TargetMode="External"/><Relationship Id="rId35" Type="http://schemas.openxmlformats.org/officeDocument/2006/relationships/hyperlink" Target="https://www.google.com/maps/place/%E5%8C%97%E6%B5%B7%E9%81%93/data=!4m2!3m1!19sChIJi4hsnyBZn18RjwPOT1bDPBw" TargetMode="External"/><Relationship Id="rId34" Type="http://schemas.openxmlformats.org/officeDocument/2006/relationships/hyperlink" Target="mailto:cynical07@gmail.com" TargetMode="External"/><Relationship Id="rId37" Type="http://schemas.openxmlformats.org/officeDocument/2006/relationships/hyperlink" Target="https://www.google.com/maps/place/%E5%8C%97%E6%B5%B7%E9%81%93/data=!4m2!3m1!19sChIJi4hsnyBZn18RjwPOT1bDPBw" TargetMode="External"/><Relationship Id="rId36" Type="http://schemas.openxmlformats.org/officeDocument/2006/relationships/hyperlink" Target="mailto:cynical07@gmail.com" TargetMode="External"/><Relationship Id="rId39" Type="http://schemas.openxmlformats.org/officeDocument/2006/relationships/hyperlink" Target="https://www.google.com/maps/place/%E5%8C%97%E6%B5%B7%E9%81%93/data=!4m2!3m1!19sChIJi4hsnyBZn18RjwPOT1bDPBw" TargetMode="External"/><Relationship Id="rId38" Type="http://schemas.openxmlformats.org/officeDocument/2006/relationships/hyperlink" Target="mailto:cynical07@gmail.com" TargetMode="External"/><Relationship Id="rId20" Type="http://schemas.openxmlformats.org/officeDocument/2006/relationships/hyperlink" Target="mailto:cynical07@gmail.com" TargetMode="External"/><Relationship Id="rId22" Type="http://schemas.openxmlformats.org/officeDocument/2006/relationships/hyperlink" Target="mailto:cynical07@gmail.com" TargetMode="External"/><Relationship Id="rId21" Type="http://schemas.openxmlformats.org/officeDocument/2006/relationships/hyperlink" Target="https://www.google.com/maps/place/%E5%8C%97%E6%B5%B7%E9%81%93/data=!4m2!3m1!19sChIJi4hsnyBZn18RjwPOT1bDPBw" TargetMode="External"/><Relationship Id="rId24" Type="http://schemas.openxmlformats.org/officeDocument/2006/relationships/hyperlink" Target="mailto:a.s.parker0106@gmail.com" TargetMode="External"/><Relationship Id="rId23" Type="http://schemas.openxmlformats.org/officeDocument/2006/relationships/hyperlink" Target="https://www.google.com/maps/place/%E5%8C%97%E6%B5%B7%E9%81%93/data=!4m2!3m1!19sChIJi4hsnyBZn18RjwPOT1bDPBw" TargetMode="External"/><Relationship Id="rId128" Type="http://schemas.openxmlformats.org/officeDocument/2006/relationships/drawing" Target="../drawings/drawing7.xml"/><Relationship Id="rId127" Type="http://schemas.openxmlformats.org/officeDocument/2006/relationships/hyperlink" Target="mailto:a.s.parker0106@gmail.com" TargetMode="External"/><Relationship Id="rId126" Type="http://schemas.openxmlformats.org/officeDocument/2006/relationships/hyperlink" Target="mailto:a.s.parker0106@gmail.com" TargetMode="External"/><Relationship Id="rId26" Type="http://schemas.openxmlformats.org/officeDocument/2006/relationships/hyperlink" Target="mailto:a.s.parker0106@gmail.com" TargetMode="External"/><Relationship Id="rId121" Type="http://schemas.openxmlformats.org/officeDocument/2006/relationships/hyperlink" Target="mailto:a.s.parker0106@gmail.com" TargetMode="External"/><Relationship Id="rId25" Type="http://schemas.openxmlformats.org/officeDocument/2006/relationships/hyperlink" Target="https://www.google.com/maps/place/%E5%8C%97%E6%B5%B7%E9%81%93/data=!4m2!3m1!19sChIJi4hsnyBZn18RjwPOT1bDPBw" TargetMode="External"/><Relationship Id="rId120" Type="http://schemas.openxmlformats.org/officeDocument/2006/relationships/hyperlink" Target="mailto:a.s.parker0106@gmail.com" TargetMode="External"/><Relationship Id="rId28" Type="http://schemas.openxmlformats.org/officeDocument/2006/relationships/hyperlink" Target="mailto:cynical07@gmail.com" TargetMode="External"/><Relationship Id="rId27" Type="http://schemas.openxmlformats.org/officeDocument/2006/relationships/hyperlink" Target="https://www.google.com/maps/place/%E5%8C%97%E6%B5%B7%E9%81%93/data=!4m2!3m1!19sChIJi4hsnyBZn18RjwPOT1bDPBw" TargetMode="External"/><Relationship Id="rId125" Type="http://schemas.openxmlformats.org/officeDocument/2006/relationships/hyperlink" Target="mailto:a.s.parker0106@gmail.com" TargetMode="External"/><Relationship Id="rId29" Type="http://schemas.openxmlformats.org/officeDocument/2006/relationships/hyperlink" Target="https://www.google.com/maps/place/%E5%8C%97%E6%B5%B7%E9%81%93/data=!4m2!3m1!19sChIJi4hsnyBZn18RjwPOT1bDPBw" TargetMode="External"/><Relationship Id="rId124" Type="http://schemas.openxmlformats.org/officeDocument/2006/relationships/hyperlink" Target="mailto:a.s.parker0106@gmail.com" TargetMode="External"/><Relationship Id="rId123" Type="http://schemas.openxmlformats.org/officeDocument/2006/relationships/hyperlink" Target="mailto:a.s.parker0106@gmail.com" TargetMode="External"/><Relationship Id="rId122" Type="http://schemas.openxmlformats.org/officeDocument/2006/relationships/hyperlink" Target="mailto:a.s.parker0106@gmail.com" TargetMode="External"/><Relationship Id="rId95" Type="http://schemas.openxmlformats.org/officeDocument/2006/relationships/hyperlink" Target="mailto:a.s.parker0106@gmail.com" TargetMode="External"/><Relationship Id="rId94" Type="http://schemas.openxmlformats.org/officeDocument/2006/relationships/hyperlink" Target="mailto:a.s.parker0106@gmail.com" TargetMode="External"/><Relationship Id="rId97" Type="http://schemas.openxmlformats.org/officeDocument/2006/relationships/hyperlink" Target="mailto:a.s.parker0106@gmail.com" TargetMode="External"/><Relationship Id="rId96" Type="http://schemas.openxmlformats.org/officeDocument/2006/relationships/hyperlink" Target="mailto:a.s.parker0106@gmail.com" TargetMode="External"/><Relationship Id="rId11" Type="http://schemas.openxmlformats.org/officeDocument/2006/relationships/hyperlink" Target="https://www.google.com/maps/place/%E5%8C%97%E6%B5%B7%E9%81%93/data=!4m2!3m1!19sChIJi4hsnyBZn18RjwPOT1bDPBw" TargetMode="External"/><Relationship Id="rId99" Type="http://schemas.openxmlformats.org/officeDocument/2006/relationships/hyperlink" Target="mailto:a.s.parker0106@gmail.com" TargetMode="External"/><Relationship Id="rId10" Type="http://schemas.openxmlformats.org/officeDocument/2006/relationships/hyperlink" Target="mailto:a.s.parker0106@gmail.com" TargetMode="External"/><Relationship Id="rId98" Type="http://schemas.openxmlformats.org/officeDocument/2006/relationships/hyperlink" Target="mailto:a.s.parker0106@gmail.com" TargetMode="External"/><Relationship Id="rId13" Type="http://schemas.openxmlformats.org/officeDocument/2006/relationships/hyperlink" Target="https://www.google.com/maps/place/%E5%8C%97%E6%B5%B7%E9%81%93/data=!4m2!3m1!19sChIJi4hsnyBZn18RjwPOT1bDPBw" TargetMode="External"/><Relationship Id="rId12" Type="http://schemas.openxmlformats.org/officeDocument/2006/relationships/hyperlink" Target="mailto:cynical07@gmail.com" TargetMode="External"/><Relationship Id="rId91" Type="http://schemas.openxmlformats.org/officeDocument/2006/relationships/hyperlink" Target="mailto:a.s.parker0106@gmail.com" TargetMode="External"/><Relationship Id="rId90" Type="http://schemas.openxmlformats.org/officeDocument/2006/relationships/hyperlink" Target="mailto:a.s.parker0106@gmail.com" TargetMode="External"/><Relationship Id="rId93" Type="http://schemas.openxmlformats.org/officeDocument/2006/relationships/hyperlink" Target="mailto:a.s.parker0106@gmail.com" TargetMode="External"/><Relationship Id="rId92" Type="http://schemas.openxmlformats.org/officeDocument/2006/relationships/hyperlink" Target="mailto:a.s.parker0106@gmail.com" TargetMode="External"/><Relationship Id="rId118" Type="http://schemas.openxmlformats.org/officeDocument/2006/relationships/hyperlink" Target="mailto:a.s.parker0106@gmail.com" TargetMode="External"/><Relationship Id="rId117" Type="http://schemas.openxmlformats.org/officeDocument/2006/relationships/hyperlink" Target="mailto:cynical07@gmail.com" TargetMode="External"/><Relationship Id="rId116" Type="http://schemas.openxmlformats.org/officeDocument/2006/relationships/hyperlink" Target="mailto:a.s.parker0106@gmail.com" TargetMode="External"/><Relationship Id="rId115" Type="http://schemas.openxmlformats.org/officeDocument/2006/relationships/hyperlink" Target="mailto:a.s.parker0106@gmail.com" TargetMode="External"/><Relationship Id="rId119" Type="http://schemas.openxmlformats.org/officeDocument/2006/relationships/hyperlink" Target="mailto:a.s.parker0106@gmail.com" TargetMode="External"/><Relationship Id="rId15" Type="http://schemas.openxmlformats.org/officeDocument/2006/relationships/hyperlink" Target="https://www.google.com/maps/place/%E5%8C%97%E6%B5%B7%E9%81%93/data=!4m2!3m1!19sChIJi4hsnyBZn18RjwPOT1bDPBw" TargetMode="External"/><Relationship Id="rId110" Type="http://schemas.openxmlformats.org/officeDocument/2006/relationships/hyperlink" Target="mailto:a.s.parker0106@gmail.com" TargetMode="External"/><Relationship Id="rId14" Type="http://schemas.openxmlformats.org/officeDocument/2006/relationships/hyperlink" Target="mailto:cynical07@gmail.com" TargetMode="External"/><Relationship Id="rId17" Type="http://schemas.openxmlformats.org/officeDocument/2006/relationships/hyperlink" Target="https://www.google.com/maps/place/%E5%8C%97%E6%B5%B7%E9%81%93/data=!4m2!3m1!19sChIJi4hsnyBZn18RjwPOT1bDPBw" TargetMode="External"/><Relationship Id="rId16" Type="http://schemas.openxmlformats.org/officeDocument/2006/relationships/hyperlink" Target="mailto:cynical07@gmail.com" TargetMode="External"/><Relationship Id="rId19" Type="http://schemas.openxmlformats.org/officeDocument/2006/relationships/hyperlink" Target="https://www.google.com/maps/place/%E5%8C%97%E6%B5%B7%E9%81%93/data=!4m2!3m1!19sChIJi4hsnyBZn18RjwPOT1bDPBw" TargetMode="External"/><Relationship Id="rId114" Type="http://schemas.openxmlformats.org/officeDocument/2006/relationships/hyperlink" Target="mailto:a.s.parker0106@gmail.com" TargetMode="External"/><Relationship Id="rId18" Type="http://schemas.openxmlformats.org/officeDocument/2006/relationships/hyperlink" Target="mailto:cynical07@gmail.com" TargetMode="External"/><Relationship Id="rId113" Type="http://schemas.openxmlformats.org/officeDocument/2006/relationships/hyperlink" Target="mailto:a.s.parker0106@gmail.com" TargetMode="External"/><Relationship Id="rId112" Type="http://schemas.openxmlformats.org/officeDocument/2006/relationships/hyperlink" Target="mailto:a.s.parker0106@gmail.com" TargetMode="External"/><Relationship Id="rId111" Type="http://schemas.openxmlformats.org/officeDocument/2006/relationships/hyperlink" Target="mailto:a.s.parker0106@gmail.com" TargetMode="External"/><Relationship Id="rId84" Type="http://schemas.openxmlformats.org/officeDocument/2006/relationships/hyperlink" Target="mailto:a.s.parker0106@gmail.com" TargetMode="External"/><Relationship Id="rId83" Type="http://schemas.openxmlformats.org/officeDocument/2006/relationships/hyperlink" Target="mailto:a.s.parker0106@gmail.com" TargetMode="External"/><Relationship Id="rId86" Type="http://schemas.openxmlformats.org/officeDocument/2006/relationships/hyperlink" Target="mailto:a.s.parker0106@gmail.com" TargetMode="External"/><Relationship Id="rId85" Type="http://schemas.openxmlformats.org/officeDocument/2006/relationships/hyperlink" Target="mailto:a.s.parker0106@gmail.com" TargetMode="External"/><Relationship Id="rId88" Type="http://schemas.openxmlformats.org/officeDocument/2006/relationships/hyperlink" Target="mailto:a.s.parker0106@gmail.com" TargetMode="External"/><Relationship Id="rId87" Type="http://schemas.openxmlformats.org/officeDocument/2006/relationships/hyperlink" Target="mailto:a.s.parker0106@gmail.com" TargetMode="External"/><Relationship Id="rId89" Type="http://schemas.openxmlformats.org/officeDocument/2006/relationships/hyperlink" Target="mailto:a.s.parker0106@gmail.com" TargetMode="External"/><Relationship Id="rId80" Type="http://schemas.openxmlformats.org/officeDocument/2006/relationships/hyperlink" Target="mailto:a.s.parker0106@gmail.com" TargetMode="External"/><Relationship Id="rId82" Type="http://schemas.openxmlformats.org/officeDocument/2006/relationships/hyperlink" Target="mailto:a.s.parker0106@gmail.com" TargetMode="External"/><Relationship Id="rId81" Type="http://schemas.openxmlformats.org/officeDocument/2006/relationships/hyperlink" Target="mailto:a.s.parker0106@gmail.com" TargetMode="External"/><Relationship Id="rId1" Type="http://schemas.openxmlformats.org/officeDocument/2006/relationships/hyperlink" Target="mailto:a.s.parker0106@gmail.com" TargetMode="External"/><Relationship Id="rId2" Type="http://schemas.openxmlformats.org/officeDocument/2006/relationships/hyperlink" Target="mailto:cynical07@gmail.com" TargetMode="External"/><Relationship Id="rId3" Type="http://schemas.openxmlformats.org/officeDocument/2006/relationships/hyperlink" Target="mailto:a.s.parker0106@gmail.com" TargetMode="External"/><Relationship Id="rId4" Type="http://schemas.openxmlformats.org/officeDocument/2006/relationships/hyperlink" Target="mailto:a.s.parker0106@gmail.com" TargetMode="External"/><Relationship Id="rId9" Type="http://schemas.openxmlformats.org/officeDocument/2006/relationships/hyperlink" Target="https://www.google.com/maps/place/%E5%8C%97%E6%B5%B7%E9%81%93/data=!4m2!3m1!19sChIJi4hsnyBZn18RjwPOT1bDPBw" TargetMode="External"/><Relationship Id="rId5" Type="http://schemas.openxmlformats.org/officeDocument/2006/relationships/hyperlink" Target="mailto:a.s.parker0106@gmail.com" TargetMode="External"/><Relationship Id="rId6" Type="http://schemas.openxmlformats.org/officeDocument/2006/relationships/hyperlink" Target="mailto:cynical07@gmail.com" TargetMode="External"/><Relationship Id="rId7" Type="http://schemas.openxmlformats.org/officeDocument/2006/relationships/hyperlink" Target="https://www.google.com/maps/place/%E5%8C%97%E6%B5%B7%E9%81%93/data=!4m2!3m1!19sChIJi4hsnyBZn18RjwPOT1bDPBw" TargetMode="External"/><Relationship Id="rId8" Type="http://schemas.openxmlformats.org/officeDocument/2006/relationships/hyperlink" Target="mailto:cynical07@gmail.com" TargetMode="External"/><Relationship Id="rId73" Type="http://schemas.openxmlformats.org/officeDocument/2006/relationships/hyperlink" Target="mailto:a.s.parker0106@gmail.com" TargetMode="External"/><Relationship Id="rId72" Type="http://schemas.openxmlformats.org/officeDocument/2006/relationships/hyperlink" Target="mailto:a.s.parker0106@gmail.com" TargetMode="External"/><Relationship Id="rId75" Type="http://schemas.openxmlformats.org/officeDocument/2006/relationships/hyperlink" Target="mailto:a.s.parker0106@gmail.com" TargetMode="External"/><Relationship Id="rId74" Type="http://schemas.openxmlformats.org/officeDocument/2006/relationships/hyperlink" Target="mailto:a.s.parker0106@gmail.com" TargetMode="External"/><Relationship Id="rId77" Type="http://schemas.openxmlformats.org/officeDocument/2006/relationships/hyperlink" Target="mailto:a.s.parker0106@gmail.com" TargetMode="External"/><Relationship Id="rId76" Type="http://schemas.openxmlformats.org/officeDocument/2006/relationships/hyperlink" Target="mailto:a.s.parker0106@gmail.com" TargetMode="External"/><Relationship Id="rId79" Type="http://schemas.openxmlformats.org/officeDocument/2006/relationships/hyperlink" Target="mailto:a.s.parker0106@gmail.com" TargetMode="External"/><Relationship Id="rId78" Type="http://schemas.openxmlformats.org/officeDocument/2006/relationships/hyperlink" Target="mailto:cynical07@gmail.com" TargetMode="External"/><Relationship Id="rId71" Type="http://schemas.openxmlformats.org/officeDocument/2006/relationships/hyperlink" Target="mailto:cynical07@gmail.com" TargetMode="External"/><Relationship Id="rId70" Type="http://schemas.openxmlformats.org/officeDocument/2006/relationships/hyperlink" Target="mailto:a.s.parker0106@gmail.com" TargetMode="External"/><Relationship Id="rId130" Type="http://schemas.openxmlformats.org/officeDocument/2006/relationships/table" Target="../tables/table7.xml"/><Relationship Id="rId62" Type="http://schemas.openxmlformats.org/officeDocument/2006/relationships/hyperlink" Target="mailto:a.s.parker0106@gmail.com" TargetMode="External"/><Relationship Id="rId61" Type="http://schemas.openxmlformats.org/officeDocument/2006/relationships/hyperlink" Target="https://www.google.com/maps/place/%E5%8C%97%E6%B5%B7%E9%81%93/data=!4m2!3m1!19sChIJi4hsnyBZn18RjwPOT1bDPBw" TargetMode="External"/><Relationship Id="rId64" Type="http://schemas.openxmlformats.org/officeDocument/2006/relationships/hyperlink" Target="mailto:cynical07@gmail.com" TargetMode="External"/><Relationship Id="rId63" Type="http://schemas.openxmlformats.org/officeDocument/2006/relationships/hyperlink" Target="https://www.google.com/maps/place/Osaka/data=!4m2!3m1!19sChIJ4eIGNFXmAGAR5y9q5G7BW8U" TargetMode="External"/><Relationship Id="rId66" Type="http://schemas.openxmlformats.org/officeDocument/2006/relationships/hyperlink" Target="mailto:a.s.parker0106@gmail.com" TargetMode="External"/><Relationship Id="rId65" Type="http://schemas.openxmlformats.org/officeDocument/2006/relationships/hyperlink" Target="https://www.google.com/maps/place/Osaka/data=!4m2!3m1!19sChIJ4eIGNFXmAGAR5y9q5G7BW8U" TargetMode="External"/><Relationship Id="rId68" Type="http://schemas.openxmlformats.org/officeDocument/2006/relationships/hyperlink" Target="mailto:a.s.parker0106@gmail.com" TargetMode="External"/><Relationship Id="rId67" Type="http://schemas.openxmlformats.org/officeDocument/2006/relationships/hyperlink" Target="mailto:a.s.parker0106@gmail.com" TargetMode="External"/><Relationship Id="rId60" Type="http://schemas.openxmlformats.org/officeDocument/2006/relationships/hyperlink" Target="mailto:cynical07@gmail.com" TargetMode="External"/><Relationship Id="rId69" Type="http://schemas.openxmlformats.org/officeDocument/2006/relationships/hyperlink" Target="mailto:a.s.parker0106@gmail.com" TargetMode="External"/><Relationship Id="rId51" Type="http://schemas.openxmlformats.org/officeDocument/2006/relationships/hyperlink" Target="https://www.google.com/maps/place/Osaka/data=!4m2!3m1!19sChIJ4eIGNFXmAGAR5y9q5G7BW8U" TargetMode="External"/><Relationship Id="rId50" Type="http://schemas.openxmlformats.org/officeDocument/2006/relationships/hyperlink" Target="mailto:a.s.parker0106@gmail.com" TargetMode="External"/><Relationship Id="rId53" Type="http://schemas.openxmlformats.org/officeDocument/2006/relationships/hyperlink" Target="https://www.google.com/maps/place/%E5%8C%97%E6%B5%B7%E9%81%93/data=!4m2!3m1!19sChIJi4hsnyBZn18RjwPOT1bDPBw" TargetMode="External"/><Relationship Id="rId52" Type="http://schemas.openxmlformats.org/officeDocument/2006/relationships/hyperlink" Target="mailto:cynical07@gmail.com" TargetMode="External"/><Relationship Id="rId55" Type="http://schemas.openxmlformats.org/officeDocument/2006/relationships/hyperlink" Target="https://www.google.com/maps/place/Osaka/data=!4m2!3m1!19sChIJ4eIGNFXmAGAR5y9q5G7BW8U" TargetMode="External"/><Relationship Id="rId54" Type="http://schemas.openxmlformats.org/officeDocument/2006/relationships/hyperlink" Target="mailto:a.s.parker0106@gmail.com" TargetMode="External"/><Relationship Id="rId57" Type="http://schemas.openxmlformats.org/officeDocument/2006/relationships/hyperlink" Target="https://www.google.com/maps/place/Osaka/data=!4m2!3m1!19sChIJ4eIGNFXmAGAR5y9q5G7BW8U" TargetMode="External"/><Relationship Id="rId56" Type="http://schemas.openxmlformats.org/officeDocument/2006/relationships/hyperlink" Target="mailto:a.s.parker0106@gmail.com" TargetMode="External"/><Relationship Id="rId59" Type="http://schemas.openxmlformats.org/officeDocument/2006/relationships/hyperlink" Target="https://www.google.com/maps/place/%E5%8C%97%E6%B5%B7%E9%81%93/data=!4m2!3m1!19sChIJi4hsnyBZn18RjwPOT1bDPBw" TargetMode="External"/><Relationship Id="rId58" Type="http://schemas.openxmlformats.org/officeDocument/2006/relationships/hyperlink" Target="mailto:cynical07@gmail.com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mailto:a.s.parker0106@gmail.com" TargetMode="External"/><Relationship Id="rId42" Type="http://schemas.openxmlformats.org/officeDocument/2006/relationships/hyperlink" Target="mailto:a.s.parker0106@gmail.com" TargetMode="External"/><Relationship Id="rId41" Type="http://schemas.openxmlformats.org/officeDocument/2006/relationships/hyperlink" Target="mailto:a.s.parker0106@gmail.com" TargetMode="External"/><Relationship Id="rId44" Type="http://schemas.openxmlformats.org/officeDocument/2006/relationships/hyperlink" Target="mailto:a.s.parker0106@gmail.com" TargetMode="External"/><Relationship Id="rId43" Type="http://schemas.openxmlformats.org/officeDocument/2006/relationships/hyperlink" Target="mailto:a.s.parker0106@gmail.com" TargetMode="External"/><Relationship Id="rId46" Type="http://schemas.openxmlformats.org/officeDocument/2006/relationships/hyperlink" Target="mailto:a.s.parker0106@gmail.com" TargetMode="External"/><Relationship Id="rId45" Type="http://schemas.openxmlformats.org/officeDocument/2006/relationships/hyperlink" Target="mailto:a.s.parker0106@gmail.com" TargetMode="External"/><Relationship Id="rId48" Type="http://schemas.openxmlformats.org/officeDocument/2006/relationships/hyperlink" Target="mailto:a.s.parker0106@gmail.com" TargetMode="External"/><Relationship Id="rId47" Type="http://schemas.openxmlformats.org/officeDocument/2006/relationships/hyperlink" Target="mailto:a.s.parker0106@gmail.com" TargetMode="External"/><Relationship Id="rId49" Type="http://schemas.openxmlformats.org/officeDocument/2006/relationships/hyperlink" Target="mailto:a.s.parker0106@gmail.com" TargetMode="External"/><Relationship Id="rId31" Type="http://schemas.openxmlformats.org/officeDocument/2006/relationships/hyperlink" Target="mailto:a.s.parker0106@gmail.com" TargetMode="External"/><Relationship Id="rId30" Type="http://schemas.openxmlformats.org/officeDocument/2006/relationships/hyperlink" Target="mailto:a.s.parker0106@gmail.com" TargetMode="External"/><Relationship Id="rId33" Type="http://schemas.openxmlformats.org/officeDocument/2006/relationships/hyperlink" Target="mailto:a.s.parker0106@gmail.com" TargetMode="External"/><Relationship Id="rId32" Type="http://schemas.openxmlformats.org/officeDocument/2006/relationships/hyperlink" Target="mailto:a.s.parker0106@gmail.com" TargetMode="External"/><Relationship Id="rId35" Type="http://schemas.openxmlformats.org/officeDocument/2006/relationships/hyperlink" Target="mailto:a.s.parker0106@gmail.com" TargetMode="External"/><Relationship Id="rId34" Type="http://schemas.openxmlformats.org/officeDocument/2006/relationships/hyperlink" Target="mailto:a.s.parker0106@gmail.com" TargetMode="External"/><Relationship Id="rId37" Type="http://schemas.openxmlformats.org/officeDocument/2006/relationships/hyperlink" Target="mailto:a.s.parker0106@gmail.com" TargetMode="External"/><Relationship Id="rId36" Type="http://schemas.openxmlformats.org/officeDocument/2006/relationships/hyperlink" Target="mailto:a.s.parker0106@gmail.com" TargetMode="External"/><Relationship Id="rId39" Type="http://schemas.openxmlformats.org/officeDocument/2006/relationships/hyperlink" Target="mailto:a.s.parker0106@gmail.com" TargetMode="External"/><Relationship Id="rId38" Type="http://schemas.openxmlformats.org/officeDocument/2006/relationships/hyperlink" Target="mailto:a.s.parker0106@gmail.com" TargetMode="External"/><Relationship Id="rId20" Type="http://schemas.openxmlformats.org/officeDocument/2006/relationships/hyperlink" Target="mailto:a.s.parker0106@gmail.com" TargetMode="External"/><Relationship Id="rId22" Type="http://schemas.openxmlformats.org/officeDocument/2006/relationships/hyperlink" Target="mailto:cynical07@gmail.com" TargetMode="External"/><Relationship Id="rId21" Type="http://schemas.openxmlformats.org/officeDocument/2006/relationships/hyperlink" Target="mailto:cynical07@gmail.com" TargetMode="External"/><Relationship Id="rId24" Type="http://schemas.openxmlformats.org/officeDocument/2006/relationships/hyperlink" Target="mailto:a.s.parker0106@gmail.com" TargetMode="External"/><Relationship Id="rId23" Type="http://schemas.openxmlformats.org/officeDocument/2006/relationships/hyperlink" Target="mailto:a.s.parker0106@gmail.com" TargetMode="External"/><Relationship Id="rId26" Type="http://schemas.openxmlformats.org/officeDocument/2006/relationships/hyperlink" Target="mailto:a.s.parker0106@gmail.com" TargetMode="External"/><Relationship Id="rId25" Type="http://schemas.openxmlformats.org/officeDocument/2006/relationships/hyperlink" Target="mailto:a.s.parker0106@gmail.com" TargetMode="External"/><Relationship Id="rId28" Type="http://schemas.openxmlformats.org/officeDocument/2006/relationships/hyperlink" Target="mailto:a.s.parker0106@gmail.com" TargetMode="External"/><Relationship Id="rId27" Type="http://schemas.openxmlformats.org/officeDocument/2006/relationships/hyperlink" Target="mailto:a.s.parker0106@gmail.com" TargetMode="External"/><Relationship Id="rId29" Type="http://schemas.openxmlformats.org/officeDocument/2006/relationships/hyperlink" Target="mailto:a.s.parker0106@gmail.com" TargetMode="External"/><Relationship Id="rId11" Type="http://schemas.openxmlformats.org/officeDocument/2006/relationships/hyperlink" Target="mailto:a.s.parker0106@gmail.com" TargetMode="External"/><Relationship Id="rId10" Type="http://schemas.openxmlformats.org/officeDocument/2006/relationships/hyperlink" Target="mailto:a.s.parker0106@gmail.com" TargetMode="External"/><Relationship Id="rId13" Type="http://schemas.openxmlformats.org/officeDocument/2006/relationships/hyperlink" Target="mailto:a.s.parker0106@gmail.com" TargetMode="External"/><Relationship Id="rId12" Type="http://schemas.openxmlformats.org/officeDocument/2006/relationships/hyperlink" Target="mailto:a.s.parker0106@gmail.com" TargetMode="External"/><Relationship Id="rId15" Type="http://schemas.openxmlformats.org/officeDocument/2006/relationships/hyperlink" Target="mailto:a.s.parker0106@gmail.com" TargetMode="External"/><Relationship Id="rId14" Type="http://schemas.openxmlformats.org/officeDocument/2006/relationships/hyperlink" Target="mailto:a.s.parker0106@gmail.com" TargetMode="External"/><Relationship Id="rId17" Type="http://schemas.openxmlformats.org/officeDocument/2006/relationships/hyperlink" Target="mailto:a.s.parker0106@gmail.com" TargetMode="External"/><Relationship Id="rId16" Type="http://schemas.openxmlformats.org/officeDocument/2006/relationships/hyperlink" Target="mailto:a.s.parker0106@gmail.com" TargetMode="External"/><Relationship Id="rId19" Type="http://schemas.openxmlformats.org/officeDocument/2006/relationships/hyperlink" Target="mailto:a.s.parker0106@gmail.com" TargetMode="External"/><Relationship Id="rId18" Type="http://schemas.openxmlformats.org/officeDocument/2006/relationships/hyperlink" Target="mailto:a.s.parker0106@gmail.com" TargetMode="External"/><Relationship Id="rId84" Type="http://schemas.openxmlformats.org/officeDocument/2006/relationships/hyperlink" Target="mailto:a.s.parker0106@gmail.com" TargetMode="External"/><Relationship Id="rId83" Type="http://schemas.openxmlformats.org/officeDocument/2006/relationships/hyperlink" Target="mailto:a.s.parker0106@gmail.com" TargetMode="External"/><Relationship Id="rId86" Type="http://schemas.openxmlformats.org/officeDocument/2006/relationships/drawing" Target="../drawings/drawing8.xml"/><Relationship Id="rId85" Type="http://schemas.openxmlformats.org/officeDocument/2006/relationships/hyperlink" Target="mailto:a.s.parker0106@gmail.com" TargetMode="External"/><Relationship Id="rId88" Type="http://schemas.openxmlformats.org/officeDocument/2006/relationships/table" Target="../tables/table8.xml"/><Relationship Id="rId80" Type="http://schemas.openxmlformats.org/officeDocument/2006/relationships/hyperlink" Target="mailto:a.s.parker0106@gmail.com" TargetMode="External"/><Relationship Id="rId82" Type="http://schemas.openxmlformats.org/officeDocument/2006/relationships/hyperlink" Target="mailto:a.s.parker0106@gmail.com" TargetMode="External"/><Relationship Id="rId81" Type="http://schemas.openxmlformats.org/officeDocument/2006/relationships/hyperlink" Target="mailto:a.s.parker0106@gmail.com" TargetMode="External"/><Relationship Id="rId1" Type="http://schemas.openxmlformats.org/officeDocument/2006/relationships/hyperlink" Target="mailto:a.s.parker0106@gmail.com" TargetMode="External"/><Relationship Id="rId2" Type="http://schemas.openxmlformats.org/officeDocument/2006/relationships/hyperlink" Target="mailto:cynical07@gmail.com" TargetMode="External"/><Relationship Id="rId3" Type="http://schemas.openxmlformats.org/officeDocument/2006/relationships/hyperlink" Target="mailto:a.s.parker0106@gmail.com" TargetMode="External"/><Relationship Id="rId4" Type="http://schemas.openxmlformats.org/officeDocument/2006/relationships/hyperlink" Target="mailto:a.s.parker0106@gmail.com" TargetMode="External"/><Relationship Id="rId9" Type="http://schemas.openxmlformats.org/officeDocument/2006/relationships/hyperlink" Target="mailto:a.s.parker0106@gmail.com" TargetMode="External"/><Relationship Id="rId5" Type="http://schemas.openxmlformats.org/officeDocument/2006/relationships/hyperlink" Target="mailto:a.s.parker0106@gmail.com" TargetMode="External"/><Relationship Id="rId6" Type="http://schemas.openxmlformats.org/officeDocument/2006/relationships/hyperlink" Target="mailto:a.s.parker0106@gmail.com" TargetMode="External"/><Relationship Id="rId7" Type="http://schemas.openxmlformats.org/officeDocument/2006/relationships/hyperlink" Target="mailto:a.s.parker0106@gmail.com" TargetMode="External"/><Relationship Id="rId8" Type="http://schemas.openxmlformats.org/officeDocument/2006/relationships/hyperlink" Target="mailto:a.s.parker0106@gmail.com" TargetMode="External"/><Relationship Id="rId73" Type="http://schemas.openxmlformats.org/officeDocument/2006/relationships/hyperlink" Target="mailto:a.s.parker0106@gmail.com" TargetMode="External"/><Relationship Id="rId72" Type="http://schemas.openxmlformats.org/officeDocument/2006/relationships/hyperlink" Target="mailto:a.s.parker0106@gmail.com" TargetMode="External"/><Relationship Id="rId75" Type="http://schemas.openxmlformats.org/officeDocument/2006/relationships/hyperlink" Target="mailto:a.s.parker0106@gmail.com" TargetMode="External"/><Relationship Id="rId74" Type="http://schemas.openxmlformats.org/officeDocument/2006/relationships/hyperlink" Target="mailto:a.s.parker0106@gmail.com" TargetMode="External"/><Relationship Id="rId77" Type="http://schemas.openxmlformats.org/officeDocument/2006/relationships/hyperlink" Target="mailto:a.s.parker0106@gmail.com" TargetMode="External"/><Relationship Id="rId76" Type="http://schemas.openxmlformats.org/officeDocument/2006/relationships/hyperlink" Target="mailto:a.s.parker0106@gmail.com" TargetMode="External"/><Relationship Id="rId79" Type="http://schemas.openxmlformats.org/officeDocument/2006/relationships/hyperlink" Target="mailto:a.s.parker0106@gmail.com" TargetMode="External"/><Relationship Id="rId78" Type="http://schemas.openxmlformats.org/officeDocument/2006/relationships/hyperlink" Target="mailto:cynical07@gmail.com" TargetMode="External"/><Relationship Id="rId71" Type="http://schemas.openxmlformats.org/officeDocument/2006/relationships/hyperlink" Target="mailto:a.s.parker0106@gmail.com" TargetMode="External"/><Relationship Id="rId70" Type="http://schemas.openxmlformats.org/officeDocument/2006/relationships/hyperlink" Target="mailto:a.s.parker0106@gmail.com" TargetMode="External"/><Relationship Id="rId62" Type="http://schemas.openxmlformats.org/officeDocument/2006/relationships/hyperlink" Target="mailto:a.s.parker0106@gmail.com" TargetMode="External"/><Relationship Id="rId61" Type="http://schemas.openxmlformats.org/officeDocument/2006/relationships/hyperlink" Target="mailto:a.s.parker0106@gmail.com" TargetMode="External"/><Relationship Id="rId64" Type="http://schemas.openxmlformats.org/officeDocument/2006/relationships/hyperlink" Target="mailto:a.s.parker0106@gmail.com" TargetMode="External"/><Relationship Id="rId63" Type="http://schemas.openxmlformats.org/officeDocument/2006/relationships/hyperlink" Target="mailto:a.s.parker0106@gmail.com" TargetMode="External"/><Relationship Id="rId66" Type="http://schemas.openxmlformats.org/officeDocument/2006/relationships/hyperlink" Target="mailto:a.s.parker0106@gmail.com" TargetMode="External"/><Relationship Id="rId65" Type="http://schemas.openxmlformats.org/officeDocument/2006/relationships/hyperlink" Target="mailto:a.s.parker0106@gmail.com" TargetMode="External"/><Relationship Id="rId68" Type="http://schemas.openxmlformats.org/officeDocument/2006/relationships/hyperlink" Target="mailto:a.s.parker0106@gmail.com" TargetMode="External"/><Relationship Id="rId67" Type="http://schemas.openxmlformats.org/officeDocument/2006/relationships/hyperlink" Target="mailto:a.s.parker0106@gmail.com" TargetMode="External"/><Relationship Id="rId60" Type="http://schemas.openxmlformats.org/officeDocument/2006/relationships/hyperlink" Target="mailto:a.s.parker0106@gmail.com" TargetMode="External"/><Relationship Id="rId69" Type="http://schemas.openxmlformats.org/officeDocument/2006/relationships/hyperlink" Target="mailto:a.s.parker0106@gmail.com" TargetMode="External"/><Relationship Id="rId51" Type="http://schemas.openxmlformats.org/officeDocument/2006/relationships/hyperlink" Target="mailto:a.s.parker0106@gmail.com" TargetMode="External"/><Relationship Id="rId50" Type="http://schemas.openxmlformats.org/officeDocument/2006/relationships/hyperlink" Target="mailto:a.s.parker0106@gmail.com" TargetMode="External"/><Relationship Id="rId53" Type="http://schemas.openxmlformats.org/officeDocument/2006/relationships/hyperlink" Target="mailto:a.s.parker0106@gmail.com" TargetMode="External"/><Relationship Id="rId52" Type="http://schemas.openxmlformats.org/officeDocument/2006/relationships/hyperlink" Target="mailto:a.s.parker0106@gmail.com" TargetMode="External"/><Relationship Id="rId55" Type="http://schemas.openxmlformats.org/officeDocument/2006/relationships/hyperlink" Target="mailto:a.s.parker0106@gmail.com" TargetMode="External"/><Relationship Id="rId54" Type="http://schemas.openxmlformats.org/officeDocument/2006/relationships/hyperlink" Target="mailto:a.s.parker0106@gmail.com" TargetMode="External"/><Relationship Id="rId57" Type="http://schemas.openxmlformats.org/officeDocument/2006/relationships/hyperlink" Target="mailto:a.s.parker0106@gmail.com" TargetMode="External"/><Relationship Id="rId56" Type="http://schemas.openxmlformats.org/officeDocument/2006/relationships/hyperlink" Target="mailto:a.s.parker0106@gmail.com" TargetMode="External"/><Relationship Id="rId59" Type="http://schemas.openxmlformats.org/officeDocument/2006/relationships/hyperlink" Target="mailto:a.s.parker0106@gmail.com" TargetMode="External"/><Relationship Id="rId58" Type="http://schemas.openxmlformats.org/officeDocument/2006/relationships/hyperlink" Target="mailto:a.s.parker0106@gmail.com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mailto:a.s.parker0106@gmail.com" TargetMode="External"/><Relationship Id="rId42" Type="http://schemas.openxmlformats.org/officeDocument/2006/relationships/hyperlink" Target="mailto:a.s.parker0106@gmail.com" TargetMode="External"/><Relationship Id="rId41" Type="http://schemas.openxmlformats.org/officeDocument/2006/relationships/hyperlink" Target="mailto:a.s.parker0106@gmail.com" TargetMode="External"/><Relationship Id="rId44" Type="http://schemas.openxmlformats.org/officeDocument/2006/relationships/hyperlink" Target="mailto:cynical07@gmail.com" TargetMode="External"/><Relationship Id="rId43" Type="http://schemas.openxmlformats.org/officeDocument/2006/relationships/hyperlink" Target="mailto:a.s.parker0106@gmail.com" TargetMode="External"/><Relationship Id="rId46" Type="http://schemas.openxmlformats.org/officeDocument/2006/relationships/hyperlink" Target="mailto:a.s.parker0106@gmail.com" TargetMode="External"/><Relationship Id="rId45" Type="http://schemas.openxmlformats.org/officeDocument/2006/relationships/hyperlink" Target="mailto:a.s.parker0106@gmail.com" TargetMode="External"/><Relationship Id="rId48" Type="http://schemas.openxmlformats.org/officeDocument/2006/relationships/hyperlink" Target="mailto:a.s.parker0106@gmail.com" TargetMode="External"/><Relationship Id="rId47" Type="http://schemas.openxmlformats.org/officeDocument/2006/relationships/hyperlink" Target="mailto:a.s.parker0106@gmail.com" TargetMode="External"/><Relationship Id="rId49" Type="http://schemas.openxmlformats.org/officeDocument/2006/relationships/hyperlink" Target="mailto:a.s.parker0106@gmail.com" TargetMode="External"/><Relationship Id="rId31" Type="http://schemas.openxmlformats.org/officeDocument/2006/relationships/hyperlink" Target="mailto:a.s.parker0106@gmail.com" TargetMode="External"/><Relationship Id="rId30" Type="http://schemas.openxmlformats.org/officeDocument/2006/relationships/hyperlink" Target="mailto:a.s.parker0106@gmail.com" TargetMode="External"/><Relationship Id="rId33" Type="http://schemas.openxmlformats.org/officeDocument/2006/relationships/hyperlink" Target="mailto:a.s.parker0106@gmail.com" TargetMode="External"/><Relationship Id="rId32" Type="http://schemas.openxmlformats.org/officeDocument/2006/relationships/hyperlink" Target="mailto:a.s.parker0106@gmail.com" TargetMode="External"/><Relationship Id="rId35" Type="http://schemas.openxmlformats.org/officeDocument/2006/relationships/hyperlink" Target="mailto:a.s.parker0106@gmail.com" TargetMode="External"/><Relationship Id="rId34" Type="http://schemas.openxmlformats.org/officeDocument/2006/relationships/hyperlink" Target="mailto:cynical07@gmail.com" TargetMode="External"/><Relationship Id="rId37" Type="http://schemas.openxmlformats.org/officeDocument/2006/relationships/hyperlink" Target="mailto:a.s.parker0106@gmail.com" TargetMode="External"/><Relationship Id="rId36" Type="http://schemas.openxmlformats.org/officeDocument/2006/relationships/hyperlink" Target="mailto:a.s.parker0106@gmail.com" TargetMode="External"/><Relationship Id="rId39" Type="http://schemas.openxmlformats.org/officeDocument/2006/relationships/hyperlink" Target="mailto:a.s.parker0106@gmail.com" TargetMode="External"/><Relationship Id="rId38" Type="http://schemas.openxmlformats.org/officeDocument/2006/relationships/hyperlink" Target="mailto:a.s.parker0106@gmail.com" TargetMode="External"/><Relationship Id="rId20" Type="http://schemas.openxmlformats.org/officeDocument/2006/relationships/hyperlink" Target="mailto:a.s.parker0106@gmail.com" TargetMode="External"/><Relationship Id="rId22" Type="http://schemas.openxmlformats.org/officeDocument/2006/relationships/hyperlink" Target="mailto:cynical07@gmail.com" TargetMode="External"/><Relationship Id="rId21" Type="http://schemas.openxmlformats.org/officeDocument/2006/relationships/hyperlink" Target="mailto:cynical07@gmail.com" TargetMode="External"/><Relationship Id="rId24" Type="http://schemas.openxmlformats.org/officeDocument/2006/relationships/hyperlink" Target="mailto:a.s.parker0106@gmail.com" TargetMode="External"/><Relationship Id="rId23" Type="http://schemas.openxmlformats.org/officeDocument/2006/relationships/hyperlink" Target="mailto:a.s.parker0106@gmail.com" TargetMode="External"/><Relationship Id="rId26" Type="http://schemas.openxmlformats.org/officeDocument/2006/relationships/hyperlink" Target="mailto:a.s.parker0106@gmail.com" TargetMode="External"/><Relationship Id="rId25" Type="http://schemas.openxmlformats.org/officeDocument/2006/relationships/hyperlink" Target="mailto:a.s.parker0106@gmail.com" TargetMode="External"/><Relationship Id="rId28" Type="http://schemas.openxmlformats.org/officeDocument/2006/relationships/hyperlink" Target="mailto:a.s.parker0106@gmail.com" TargetMode="External"/><Relationship Id="rId27" Type="http://schemas.openxmlformats.org/officeDocument/2006/relationships/hyperlink" Target="mailto:a.s.parker0106@gmail.com" TargetMode="External"/><Relationship Id="rId29" Type="http://schemas.openxmlformats.org/officeDocument/2006/relationships/hyperlink" Target="mailto:a.s.parker0106@gmail.com" TargetMode="External"/><Relationship Id="rId11" Type="http://schemas.openxmlformats.org/officeDocument/2006/relationships/hyperlink" Target="mailto:a.s.parker0106@gmail.com" TargetMode="External"/><Relationship Id="rId10" Type="http://schemas.openxmlformats.org/officeDocument/2006/relationships/hyperlink" Target="mailto:a.s.parker0106@gmail.com" TargetMode="External"/><Relationship Id="rId13" Type="http://schemas.openxmlformats.org/officeDocument/2006/relationships/hyperlink" Target="mailto:a.s.parker0106@gmail.com" TargetMode="External"/><Relationship Id="rId12" Type="http://schemas.openxmlformats.org/officeDocument/2006/relationships/hyperlink" Target="mailto:a.s.parker0106@gmail.com" TargetMode="External"/><Relationship Id="rId15" Type="http://schemas.openxmlformats.org/officeDocument/2006/relationships/hyperlink" Target="mailto:a.s.parker0106@gmail.com" TargetMode="External"/><Relationship Id="rId14" Type="http://schemas.openxmlformats.org/officeDocument/2006/relationships/hyperlink" Target="mailto:a.s.parker0106@gmail.com" TargetMode="External"/><Relationship Id="rId17" Type="http://schemas.openxmlformats.org/officeDocument/2006/relationships/hyperlink" Target="mailto:a.s.parker0106@gmail.com" TargetMode="External"/><Relationship Id="rId16" Type="http://schemas.openxmlformats.org/officeDocument/2006/relationships/hyperlink" Target="mailto:a.s.parker0106@gmail.com" TargetMode="External"/><Relationship Id="rId19" Type="http://schemas.openxmlformats.org/officeDocument/2006/relationships/hyperlink" Target="mailto:a.s.parker0106@gmail.com" TargetMode="External"/><Relationship Id="rId18" Type="http://schemas.openxmlformats.org/officeDocument/2006/relationships/hyperlink" Target="mailto:a.s.parker0106@gmail.com" TargetMode="External"/><Relationship Id="rId1" Type="http://schemas.openxmlformats.org/officeDocument/2006/relationships/hyperlink" Target="mailto:a.s.parker0106@gmail.com" TargetMode="External"/><Relationship Id="rId2" Type="http://schemas.openxmlformats.org/officeDocument/2006/relationships/hyperlink" Target="mailto:cynical07@gmail.com" TargetMode="External"/><Relationship Id="rId3" Type="http://schemas.openxmlformats.org/officeDocument/2006/relationships/hyperlink" Target="mailto:a.s.parker0106@gmail.com" TargetMode="External"/><Relationship Id="rId4" Type="http://schemas.openxmlformats.org/officeDocument/2006/relationships/hyperlink" Target="mailto:a.s.parker0106@gmail.com" TargetMode="External"/><Relationship Id="rId9" Type="http://schemas.openxmlformats.org/officeDocument/2006/relationships/hyperlink" Target="mailto:a.s.parker0106@gmail.com" TargetMode="External"/><Relationship Id="rId5" Type="http://schemas.openxmlformats.org/officeDocument/2006/relationships/hyperlink" Target="mailto:a.s.parker0106@gmail.com" TargetMode="External"/><Relationship Id="rId6" Type="http://schemas.openxmlformats.org/officeDocument/2006/relationships/hyperlink" Target="mailto:a.s.parker0106@gmail.com" TargetMode="External"/><Relationship Id="rId7" Type="http://schemas.openxmlformats.org/officeDocument/2006/relationships/hyperlink" Target="mailto:a.s.parker0106@gmail.com" TargetMode="External"/><Relationship Id="rId8" Type="http://schemas.openxmlformats.org/officeDocument/2006/relationships/hyperlink" Target="mailto:a.s.parker0106@gmail.com" TargetMode="External"/><Relationship Id="rId62" Type="http://schemas.openxmlformats.org/officeDocument/2006/relationships/hyperlink" Target="mailto:a.s.parker0106@gmail.com" TargetMode="External"/><Relationship Id="rId61" Type="http://schemas.openxmlformats.org/officeDocument/2006/relationships/hyperlink" Target="mailto:a.s.parker0106@gmail.com" TargetMode="External"/><Relationship Id="rId63" Type="http://schemas.openxmlformats.org/officeDocument/2006/relationships/drawing" Target="../drawings/drawing9.xml"/><Relationship Id="rId65" Type="http://schemas.openxmlformats.org/officeDocument/2006/relationships/table" Target="../tables/table9.xml"/><Relationship Id="rId60" Type="http://schemas.openxmlformats.org/officeDocument/2006/relationships/hyperlink" Target="mailto:a.s.parker0106@gmail.com" TargetMode="External"/><Relationship Id="rId51" Type="http://schemas.openxmlformats.org/officeDocument/2006/relationships/hyperlink" Target="mailto:a.s.parker0106@gmail.com" TargetMode="External"/><Relationship Id="rId50" Type="http://schemas.openxmlformats.org/officeDocument/2006/relationships/hyperlink" Target="mailto:a.s.parker0106@gmail.com" TargetMode="External"/><Relationship Id="rId53" Type="http://schemas.openxmlformats.org/officeDocument/2006/relationships/hyperlink" Target="mailto:a.s.parker0106@gmail.com" TargetMode="External"/><Relationship Id="rId52" Type="http://schemas.openxmlformats.org/officeDocument/2006/relationships/hyperlink" Target="mailto:a.s.parker0106@gmail.com" TargetMode="External"/><Relationship Id="rId55" Type="http://schemas.openxmlformats.org/officeDocument/2006/relationships/hyperlink" Target="mailto:a.s.parker0106@gmail.com" TargetMode="External"/><Relationship Id="rId54" Type="http://schemas.openxmlformats.org/officeDocument/2006/relationships/hyperlink" Target="mailto:a.s.parker0106@gmail.com" TargetMode="External"/><Relationship Id="rId57" Type="http://schemas.openxmlformats.org/officeDocument/2006/relationships/hyperlink" Target="mailto:a.s.parker0106@gmail.com" TargetMode="External"/><Relationship Id="rId56" Type="http://schemas.openxmlformats.org/officeDocument/2006/relationships/hyperlink" Target="mailto:cynical07@gmail.com" TargetMode="External"/><Relationship Id="rId59" Type="http://schemas.openxmlformats.org/officeDocument/2006/relationships/hyperlink" Target="mailto:a.s.parker0106@gmail.com" TargetMode="External"/><Relationship Id="rId58" Type="http://schemas.openxmlformats.org/officeDocument/2006/relationships/hyperlink" Target="mailto:a.s.parker0106@gmail.com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mailto:a.s.parker0106@gmail.com" TargetMode="External"/><Relationship Id="rId42" Type="http://schemas.openxmlformats.org/officeDocument/2006/relationships/hyperlink" Target="mailto:a.s.parker0106@gmail.com" TargetMode="External"/><Relationship Id="rId41" Type="http://schemas.openxmlformats.org/officeDocument/2006/relationships/hyperlink" Target="mailto:a.s.parker0106@gmail.com" TargetMode="External"/><Relationship Id="rId44" Type="http://schemas.openxmlformats.org/officeDocument/2006/relationships/hyperlink" Target="mailto:a.s.parker0106@gmail.com" TargetMode="External"/><Relationship Id="rId43" Type="http://schemas.openxmlformats.org/officeDocument/2006/relationships/hyperlink" Target="mailto:a.s.parker0106@gmail.com" TargetMode="External"/><Relationship Id="rId46" Type="http://schemas.openxmlformats.org/officeDocument/2006/relationships/hyperlink" Target="mailto:a.s.parker0106@gmail.com" TargetMode="External"/><Relationship Id="rId45" Type="http://schemas.openxmlformats.org/officeDocument/2006/relationships/hyperlink" Target="mailto:a.s.parker0106@gmail.com" TargetMode="External"/><Relationship Id="rId48" Type="http://schemas.openxmlformats.org/officeDocument/2006/relationships/hyperlink" Target="mailto:a.s.parker0106@gmail.com" TargetMode="External"/><Relationship Id="rId47" Type="http://schemas.openxmlformats.org/officeDocument/2006/relationships/hyperlink" Target="mailto:a.s.parker0106@gmail.com" TargetMode="External"/><Relationship Id="rId49" Type="http://schemas.openxmlformats.org/officeDocument/2006/relationships/hyperlink" Target="mailto:a.s.parker0106@gmail.com" TargetMode="External"/><Relationship Id="rId31" Type="http://schemas.openxmlformats.org/officeDocument/2006/relationships/hyperlink" Target="mailto:a.s.parker0106@gmail.com" TargetMode="External"/><Relationship Id="rId30" Type="http://schemas.openxmlformats.org/officeDocument/2006/relationships/hyperlink" Target="mailto:a.s.parker0106@gmail.com" TargetMode="External"/><Relationship Id="rId33" Type="http://schemas.openxmlformats.org/officeDocument/2006/relationships/hyperlink" Target="mailto:a.s.parker0106@gmail.com" TargetMode="External"/><Relationship Id="rId32" Type="http://schemas.openxmlformats.org/officeDocument/2006/relationships/hyperlink" Target="mailto:a.s.parker0106@gmail.com" TargetMode="External"/><Relationship Id="rId35" Type="http://schemas.openxmlformats.org/officeDocument/2006/relationships/hyperlink" Target="mailto:a.s.parker0106@gmail.com" TargetMode="External"/><Relationship Id="rId34" Type="http://schemas.openxmlformats.org/officeDocument/2006/relationships/hyperlink" Target="mailto:a.s.parker0106@gmail.com" TargetMode="External"/><Relationship Id="rId37" Type="http://schemas.openxmlformats.org/officeDocument/2006/relationships/hyperlink" Target="mailto:a.s.parker0106@gmail.com" TargetMode="External"/><Relationship Id="rId36" Type="http://schemas.openxmlformats.org/officeDocument/2006/relationships/hyperlink" Target="mailto:a.s.parker0106@gmail.com" TargetMode="External"/><Relationship Id="rId39" Type="http://schemas.openxmlformats.org/officeDocument/2006/relationships/hyperlink" Target="mailto:a.s.parker0106@gmail.com" TargetMode="External"/><Relationship Id="rId38" Type="http://schemas.openxmlformats.org/officeDocument/2006/relationships/hyperlink" Target="mailto:cynical07@gmail.com" TargetMode="External"/><Relationship Id="rId20" Type="http://schemas.openxmlformats.org/officeDocument/2006/relationships/hyperlink" Target="mailto:a.s.parker0106@gmail.com" TargetMode="External"/><Relationship Id="rId22" Type="http://schemas.openxmlformats.org/officeDocument/2006/relationships/hyperlink" Target="mailto:a.s.parker0106@gmail.com" TargetMode="External"/><Relationship Id="rId21" Type="http://schemas.openxmlformats.org/officeDocument/2006/relationships/hyperlink" Target="mailto:a.s.parker0106@gmail.com" TargetMode="External"/><Relationship Id="rId24" Type="http://schemas.openxmlformats.org/officeDocument/2006/relationships/hyperlink" Target="mailto:a.s.parker0106@gmail.com" TargetMode="External"/><Relationship Id="rId23" Type="http://schemas.openxmlformats.org/officeDocument/2006/relationships/hyperlink" Target="mailto:a.s.parker0106@gmail.com" TargetMode="External"/><Relationship Id="rId26" Type="http://schemas.openxmlformats.org/officeDocument/2006/relationships/hyperlink" Target="mailto:a.s.parker0106@gmail.com" TargetMode="External"/><Relationship Id="rId25" Type="http://schemas.openxmlformats.org/officeDocument/2006/relationships/hyperlink" Target="mailto:a.s.parker0106@gmail.com" TargetMode="External"/><Relationship Id="rId28" Type="http://schemas.openxmlformats.org/officeDocument/2006/relationships/hyperlink" Target="mailto:a.s.parker0106@gmail.com" TargetMode="External"/><Relationship Id="rId27" Type="http://schemas.openxmlformats.org/officeDocument/2006/relationships/hyperlink" Target="mailto:a.s.parker0106@gmail.com" TargetMode="External"/><Relationship Id="rId29" Type="http://schemas.openxmlformats.org/officeDocument/2006/relationships/hyperlink" Target="mailto:a.s.parker0106@gmail.com" TargetMode="External"/><Relationship Id="rId11" Type="http://schemas.openxmlformats.org/officeDocument/2006/relationships/hyperlink" Target="mailto:a.s.parker0106@gmail.com" TargetMode="External"/><Relationship Id="rId10" Type="http://schemas.openxmlformats.org/officeDocument/2006/relationships/hyperlink" Target="mailto:a.s.parker0106@gmail.com" TargetMode="External"/><Relationship Id="rId13" Type="http://schemas.openxmlformats.org/officeDocument/2006/relationships/hyperlink" Target="mailto:a.s.parker0106@gmail.com" TargetMode="External"/><Relationship Id="rId12" Type="http://schemas.openxmlformats.org/officeDocument/2006/relationships/hyperlink" Target="mailto:a.s.parker0106@gmail.com" TargetMode="External"/><Relationship Id="rId15" Type="http://schemas.openxmlformats.org/officeDocument/2006/relationships/hyperlink" Target="mailto:a.s.parker0106@gmail.com" TargetMode="External"/><Relationship Id="rId14" Type="http://schemas.openxmlformats.org/officeDocument/2006/relationships/hyperlink" Target="mailto:a.s.parker0106@gmail.com" TargetMode="External"/><Relationship Id="rId17" Type="http://schemas.openxmlformats.org/officeDocument/2006/relationships/hyperlink" Target="mailto:a.s.parker0106@gmail.com" TargetMode="External"/><Relationship Id="rId16" Type="http://schemas.openxmlformats.org/officeDocument/2006/relationships/hyperlink" Target="mailto:a.s.parker0106@gmail.com" TargetMode="External"/><Relationship Id="rId19" Type="http://schemas.openxmlformats.org/officeDocument/2006/relationships/hyperlink" Target="mailto:a.s.parker0106@gmail.com" TargetMode="External"/><Relationship Id="rId18" Type="http://schemas.openxmlformats.org/officeDocument/2006/relationships/hyperlink" Target="mailto:a.s.parker0106@gmail.com" TargetMode="External"/><Relationship Id="rId1" Type="http://schemas.openxmlformats.org/officeDocument/2006/relationships/hyperlink" Target="mailto:a.s.parker0106@gmail.com" TargetMode="External"/><Relationship Id="rId2" Type="http://schemas.openxmlformats.org/officeDocument/2006/relationships/hyperlink" Target="mailto:cynical07@gmail.com" TargetMode="External"/><Relationship Id="rId3" Type="http://schemas.openxmlformats.org/officeDocument/2006/relationships/hyperlink" Target="mailto:a.s.parker0106@gmail.com" TargetMode="External"/><Relationship Id="rId4" Type="http://schemas.openxmlformats.org/officeDocument/2006/relationships/hyperlink" Target="mailto:a.s.parker0106@gmail.com" TargetMode="External"/><Relationship Id="rId9" Type="http://schemas.openxmlformats.org/officeDocument/2006/relationships/hyperlink" Target="mailto:a.s.parker0106@gmail.com" TargetMode="External"/><Relationship Id="rId5" Type="http://schemas.openxmlformats.org/officeDocument/2006/relationships/hyperlink" Target="mailto:a.s.parker0106@gmail.com" TargetMode="External"/><Relationship Id="rId6" Type="http://schemas.openxmlformats.org/officeDocument/2006/relationships/hyperlink" Target="mailto:a.s.parker0106@gmail.com" TargetMode="External"/><Relationship Id="rId7" Type="http://schemas.openxmlformats.org/officeDocument/2006/relationships/hyperlink" Target="mailto:a.s.parker0106@gmail.com" TargetMode="External"/><Relationship Id="rId8" Type="http://schemas.openxmlformats.org/officeDocument/2006/relationships/hyperlink" Target="mailto:a.s.parker0106@gmail.com" TargetMode="External"/><Relationship Id="rId62" Type="http://schemas.openxmlformats.org/officeDocument/2006/relationships/hyperlink" Target="mailto:cynical07@gmail.com" TargetMode="External"/><Relationship Id="rId61" Type="http://schemas.openxmlformats.org/officeDocument/2006/relationships/hyperlink" Target="mailto:a.s.parker0106@gmail.com" TargetMode="External"/><Relationship Id="rId64" Type="http://schemas.openxmlformats.org/officeDocument/2006/relationships/hyperlink" Target="mailto:a.s.parker0106@gmail.com" TargetMode="External"/><Relationship Id="rId63" Type="http://schemas.openxmlformats.org/officeDocument/2006/relationships/hyperlink" Target="mailto:a.s.parker0106@gmail.com" TargetMode="External"/><Relationship Id="rId66" Type="http://schemas.openxmlformats.org/officeDocument/2006/relationships/drawing" Target="../drawings/drawing10.xml"/><Relationship Id="rId65" Type="http://schemas.openxmlformats.org/officeDocument/2006/relationships/hyperlink" Target="mailto:a.s.parker0106@gmail.com" TargetMode="External"/><Relationship Id="rId68" Type="http://schemas.openxmlformats.org/officeDocument/2006/relationships/table" Target="../tables/table10.xml"/><Relationship Id="rId60" Type="http://schemas.openxmlformats.org/officeDocument/2006/relationships/hyperlink" Target="mailto:a.s.parker0106@gmail.com" TargetMode="External"/><Relationship Id="rId51" Type="http://schemas.openxmlformats.org/officeDocument/2006/relationships/hyperlink" Target="mailto:a.s.parker0106@gmail.com" TargetMode="External"/><Relationship Id="rId50" Type="http://schemas.openxmlformats.org/officeDocument/2006/relationships/hyperlink" Target="mailto:a.s.parker0106@gmail.com" TargetMode="External"/><Relationship Id="rId53" Type="http://schemas.openxmlformats.org/officeDocument/2006/relationships/hyperlink" Target="mailto:a.s.parker0106@gmail.com" TargetMode="External"/><Relationship Id="rId52" Type="http://schemas.openxmlformats.org/officeDocument/2006/relationships/hyperlink" Target="mailto:a.s.parker0106@gmail.com" TargetMode="External"/><Relationship Id="rId55" Type="http://schemas.openxmlformats.org/officeDocument/2006/relationships/hyperlink" Target="mailto:a.s.parker0106@gmail.com" TargetMode="External"/><Relationship Id="rId54" Type="http://schemas.openxmlformats.org/officeDocument/2006/relationships/hyperlink" Target="mailto:a.s.parker0106@gmail.com" TargetMode="External"/><Relationship Id="rId57" Type="http://schemas.openxmlformats.org/officeDocument/2006/relationships/hyperlink" Target="mailto:a.s.parker0106@gmail.com" TargetMode="External"/><Relationship Id="rId56" Type="http://schemas.openxmlformats.org/officeDocument/2006/relationships/hyperlink" Target="mailto:a.s.parker0106@gmail.com" TargetMode="External"/><Relationship Id="rId59" Type="http://schemas.openxmlformats.org/officeDocument/2006/relationships/hyperlink" Target="mailto:a.s.parker0106@gmail.com" TargetMode="External"/><Relationship Id="rId58" Type="http://schemas.openxmlformats.org/officeDocument/2006/relationships/hyperlink" Target="mailto:a.s.parker0106@gmail.com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mailto:a.s.parker0106@gmail.com" TargetMode="External"/><Relationship Id="rId42" Type="http://schemas.openxmlformats.org/officeDocument/2006/relationships/hyperlink" Target="mailto:a.s.parker0106@gmail.com" TargetMode="External"/><Relationship Id="rId41" Type="http://schemas.openxmlformats.org/officeDocument/2006/relationships/hyperlink" Target="mailto:a.s.parker0106@gmail.com" TargetMode="External"/><Relationship Id="rId44" Type="http://schemas.openxmlformats.org/officeDocument/2006/relationships/hyperlink" Target="mailto:a.s.parker0106@gmail.com" TargetMode="External"/><Relationship Id="rId43" Type="http://schemas.openxmlformats.org/officeDocument/2006/relationships/hyperlink" Target="mailto:a.s.parker0106@gmail.com" TargetMode="External"/><Relationship Id="rId46" Type="http://schemas.openxmlformats.org/officeDocument/2006/relationships/hyperlink" Target="mailto:a.s.parker0106@gmail.com" TargetMode="External"/><Relationship Id="rId45" Type="http://schemas.openxmlformats.org/officeDocument/2006/relationships/hyperlink" Target="mailto:a.s.parker0106@gmail.com" TargetMode="External"/><Relationship Id="rId48" Type="http://schemas.openxmlformats.org/officeDocument/2006/relationships/hyperlink" Target="mailto:a.s.parker0106@gmail.com" TargetMode="External"/><Relationship Id="rId47" Type="http://schemas.openxmlformats.org/officeDocument/2006/relationships/hyperlink" Target="mailto:a.s.parker0106@gmail.com" TargetMode="External"/><Relationship Id="rId49" Type="http://schemas.openxmlformats.org/officeDocument/2006/relationships/hyperlink" Target="mailto:a.s.parker0106@gmail.com" TargetMode="External"/><Relationship Id="rId31" Type="http://schemas.openxmlformats.org/officeDocument/2006/relationships/hyperlink" Target="mailto:a.s.parker0106@gmail.com" TargetMode="External"/><Relationship Id="rId30" Type="http://schemas.openxmlformats.org/officeDocument/2006/relationships/hyperlink" Target="mailto:cynical07@gmail.com" TargetMode="External"/><Relationship Id="rId33" Type="http://schemas.openxmlformats.org/officeDocument/2006/relationships/hyperlink" Target="mailto:a.s.parker0106@gmail.com" TargetMode="External"/><Relationship Id="rId32" Type="http://schemas.openxmlformats.org/officeDocument/2006/relationships/hyperlink" Target="mailto:a.s.parker0106@gmail.com" TargetMode="External"/><Relationship Id="rId35" Type="http://schemas.openxmlformats.org/officeDocument/2006/relationships/hyperlink" Target="mailto:a.s.parker0106@gmail.com" TargetMode="External"/><Relationship Id="rId34" Type="http://schemas.openxmlformats.org/officeDocument/2006/relationships/hyperlink" Target="mailto:a.s.parker0106@gmail.com" TargetMode="External"/><Relationship Id="rId37" Type="http://schemas.openxmlformats.org/officeDocument/2006/relationships/hyperlink" Target="mailto:a.s.parker0106@gmail.com" TargetMode="External"/><Relationship Id="rId36" Type="http://schemas.openxmlformats.org/officeDocument/2006/relationships/hyperlink" Target="mailto:a.s.parker0106@gmail.com" TargetMode="External"/><Relationship Id="rId39" Type="http://schemas.openxmlformats.org/officeDocument/2006/relationships/hyperlink" Target="mailto:a.s.parker0106@gmail.com" TargetMode="External"/><Relationship Id="rId38" Type="http://schemas.openxmlformats.org/officeDocument/2006/relationships/hyperlink" Target="mailto:a.s.parker0106@gmail.com" TargetMode="External"/><Relationship Id="rId20" Type="http://schemas.openxmlformats.org/officeDocument/2006/relationships/hyperlink" Target="mailto:a.s.parker0106@gmail.com" TargetMode="External"/><Relationship Id="rId22" Type="http://schemas.openxmlformats.org/officeDocument/2006/relationships/hyperlink" Target="mailto:a.s.parker0106@gmail.com" TargetMode="External"/><Relationship Id="rId21" Type="http://schemas.openxmlformats.org/officeDocument/2006/relationships/hyperlink" Target="mailto:a.s.parker0106@gmail.com" TargetMode="External"/><Relationship Id="rId24" Type="http://schemas.openxmlformats.org/officeDocument/2006/relationships/hyperlink" Target="mailto:a.s.parker0106@gmail.com" TargetMode="External"/><Relationship Id="rId23" Type="http://schemas.openxmlformats.org/officeDocument/2006/relationships/hyperlink" Target="mailto:a.s.parker0106@gmail.com" TargetMode="External"/><Relationship Id="rId26" Type="http://schemas.openxmlformats.org/officeDocument/2006/relationships/hyperlink" Target="mailto:a.s.parker0106@gmail.com" TargetMode="External"/><Relationship Id="rId25" Type="http://schemas.openxmlformats.org/officeDocument/2006/relationships/hyperlink" Target="mailto:a.s.parker0106@gmail.com" TargetMode="External"/><Relationship Id="rId28" Type="http://schemas.openxmlformats.org/officeDocument/2006/relationships/hyperlink" Target="mailto:a.s.parker0106@gmail.com" TargetMode="External"/><Relationship Id="rId27" Type="http://schemas.openxmlformats.org/officeDocument/2006/relationships/hyperlink" Target="mailto:a.s.parker0106@gmail.com" TargetMode="External"/><Relationship Id="rId29" Type="http://schemas.openxmlformats.org/officeDocument/2006/relationships/hyperlink" Target="mailto:a.s.parker0106@gmail.com" TargetMode="External"/><Relationship Id="rId11" Type="http://schemas.openxmlformats.org/officeDocument/2006/relationships/hyperlink" Target="mailto:a.s.parker0106@gmail.com" TargetMode="External"/><Relationship Id="rId10" Type="http://schemas.openxmlformats.org/officeDocument/2006/relationships/hyperlink" Target="mailto:a.s.parker0106@gmail.com" TargetMode="External"/><Relationship Id="rId13" Type="http://schemas.openxmlformats.org/officeDocument/2006/relationships/hyperlink" Target="mailto:a.s.parker0106@gmail.com" TargetMode="External"/><Relationship Id="rId12" Type="http://schemas.openxmlformats.org/officeDocument/2006/relationships/hyperlink" Target="mailto:a.s.parker0106@gmail.com" TargetMode="External"/><Relationship Id="rId15" Type="http://schemas.openxmlformats.org/officeDocument/2006/relationships/hyperlink" Target="mailto:a.s.parker0106@gmail.com" TargetMode="External"/><Relationship Id="rId14" Type="http://schemas.openxmlformats.org/officeDocument/2006/relationships/hyperlink" Target="mailto:cynical07@gmail.com" TargetMode="External"/><Relationship Id="rId17" Type="http://schemas.openxmlformats.org/officeDocument/2006/relationships/hyperlink" Target="mailto:cynical07@gmail.com" TargetMode="External"/><Relationship Id="rId16" Type="http://schemas.openxmlformats.org/officeDocument/2006/relationships/hyperlink" Target="mailto:a.s.parker0106@gmail.com" TargetMode="External"/><Relationship Id="rId19" Type="http://schemas.openxmlformats.org/officeDocument/2006/relationships/hyperlink" Target="mailto:cynical07@gmail.com" TargetMode="External"/><Relationship Id="rId18" Type="http://schemas.openxmlformats.org/officeDocument/2006/relationships/hyperlink" Target="mailto:cynical07@gmail.com" TargetMode="External"/><Relationship Id="rId84" Type="http://schemas.openxmlformats.org/officeDocument/2006/relationships/hyperlink" Target="mailto:a.s.parker0106@gmail.com" TargetMode="External"/><Relationship Id="rId83" Type="http://schemas.openxmlformats.org/officeDocument/2006/relationships/hyperlink" Target="mailto:cynical07@gmail.com" TargetMode="External"/><Relationship Id="rId86" Type="http://schemas.openxmlformats.org/officeDocument/2006/relationships/hyperlink" Target="mailto:a.s.parker0106@gmail.com" TargetMode="External"/><Relationship Id="rId85" Type="http://schemas.openxmlformats.org/officeDocument/2006/relationships/hyperlink" Target="mailto:a.s.parker0106@gmail.com" TargetMode="External"/><Relationship Id="rId87" Type="http://schemas.openxmlformats.org/officeDocument/2006/relationships/drawing" Target="../drawings/drawing11.xml"/><Relationship Id="rId89" Type="http://schemas.openxmlformats.org/officeDocument/2006/relationships/table" Target="../tables/table11.xml"/><Relationship Id="rId80" Type="http://schemas.openxmlformats.org/officeDocument/2006/relationships/hyperlink" Target="mailto:a.s.parker0106@gmail.com" TargetMode="External"/><Relationship Id="rId82" Type="http://schemas.openxmlformats.org/officeDocument/2006/relationships/hyperlink" Target="mailto:a.s.parker0106@gmail.com" TargetMode="External"/><Relationship Id="rId81" Type="http://schemas.openxmlformats.org/officeDocument/2006/relationships/hyperlink" Target="mailto:a.s.parker0106@gmail.com" TargetMode="External"/><Relationship Id="rId1" Type="http://schemas.openxmlformats.org/officeDocument/2006/relationships/hyperlink" Target="mailto:a.s.parker0106@gmail.com" TargetMode="External"/><Relationship Id="rId2" Type="http://schemas.openxmlformats.org/officeDocument/2006/relationships/hyperlink" Target="mailto:cynical07@gmail.com" TargetMode="External"/><Relationship Id="rId3" Type="http://schemas.openxmlformats.org/officeDocument/2006/relationships/hyperlink" Target="mailto:a.s.parker0106@gmail.com" TargetMode="External"/><Relationship Id="rId4" Type="http://schemas.openxmlformats.org/officeDocument/2006/relationships/hyperlink" Target="mailto:a.s.parker0106@gmail.com" TargetMode="External"/><Relationship Id="rId9" Type="http://schemas.openxmlformats.org/officeDocument/2006/relationships/hyperlink" Target="mailto:a.s.parker0106@gmail.com" TargetMode="External"/><Relationship Id="rId5" Type="http://schemas.openxmlformats.org/officeDocument/2006/relationships/hyperlink" Target="mailto:a.s.parker0106@gmail.com" TargetMode="External"/><Relationship Id="rId6" Type="http://schemas.openxmlformats.org/officeDocument/2006/relationships/hyperlink" Target="mailto:a.s.parker0106@gmail.com" TargetMode="External"/><Relationship Id="rId7" Type="http://schemas.openxmlformats.org/officeDocument/2006/relationships/hyperlink" Target="mailto:a.s.parker0106@gmail.com" TargetMode="External"/><Relationship Id="rId8" Type="http://schemas.openxmlformats.org/officeDocument/2006/relationships/hyperlink" Target="mailto:a.s.parker0106@gmail.com" TargetMode="External"/><Relationship Id="rId73" Type="http://schemas.openxmlformats.org/officeDocument/2006/relationships/hyperlink" Target="mailto:a.s.parker0106@gmail.com" TargetMode="External"/><Relationship Id="rId72" Type="http://schemas.openxmlformats.org/officeDocument/2006/relationships/hyperlink" Target="mailto:a.s.parker0106@gmail.com" TargetMode="External"/><Relationship Id="rId75" Type="http://schemas.openxmlformats.org/officeDocument/2006/relationships/hyperlink" Target="mailto:a.s.parker0106@gmail.com" TargetMode="External"/><Relationship Id="rId74" Type="http://schemas.openxmlformats.org/officeDocument/2006/relationships/hyperlink" Target="mailto:a.s.parker0106@gmail.com" TargetMode="External"/><Relationship Id="rId77" Type="http://schemas.openxmlformats.org/officeDocument/2006/relationships/hyperlink" Target="mailto:a.s.parker0106@gmail.com" TargetMode="External"/><Relationship Id="rId76" Type="http://schemas.openxmlformats.org/officeDocument/2006/relationships/hyperlink" Target="mailto:a.s.parker0106@gmail.com" TargetMode="External"/><Relationship Id="rId79" Type="http://schemas.openxmlformats.org/officeDocument/2006/relationships/hyperlink" Target="mailto:a.s.parker0106@gmail.com" TargetMode="External"/><Relationship Id="rId78" Type="http://schemas.openxmlformats.org/officeDocument/2006/relationships/hyperlink" Target="mailto:a.s.parker0106@gmail.com" TargetMode="External"/><Relationship Id="rId71" Type="http://schemas.openxmlformats.org/officeDocument/2006/relationships/hyperlink" Target="mailto:a.s.parker0106@gmail.com" TargetMode="External"/><Relationship Id="rId70" Type="http://schemas.openxmlformats.org/officeDocument/2006/relationships/hyperlink" Target="mailto:a.s.parker0106@gmail.com" TargetMode="External"/><Relationship Id="rId62" Type="http://schemas.openxmlformats.org/officeDocument/2006/relationships/hyperlink" Target="mailto:a.s.parker0106@gmail.com" TargetMode="External"/><Relationship Id="rId61" Type="http://schemas.openxmlformats.org/officeDocument/2006/relationships/hyperlink" Target="mailto:a.s.parker0106@gmail.com" TargetMode="External"/><Relationship Id="rId64" Type="http://schemas.openxmlformats.org/officeDocument/2006/relationships/hyperlink" Target="mailto:a.s.parker0106@gmail.com" TargetMode="External"/><Relationship Id="rId63" Type="http://schemas.openxmlformats.org/officeDocument/2006/relationships/hyperlink" Target="mailto:a.s.parker0106@gmail.com" TargetMode="External"/><Relationship Id="rId66" Type="http://schemas.openxmlformats.org/officeDocument/2006/relationships/hyperlink" Target="mailto:a.s.parker0106@gmail.com" TargetMode="External"/><Relationship Id="rId65" Type="http://schemas.openxmlformats.org/officeDocument/2006/relationships/hyperlink" Target="mailto:a.s.parker0106@gmail.com" TargetMode="External"/><Relationship Id="rId68" Type="http://schemas.openxmlformats.org/officeDocument/2006/relationships/hyperlink" Target="mailto:a.s.parker0106@gmail.com" TargetMode="External"/><Relationship Id="rId67" Type="http://schemas.openxmlformats.org/officeDocument/2006/relationships/hyperlink" Target="mailto:a.s.parker0106@gmail.com" TargetMode="External"/><Relationship Id="rId60" Type="http://schemas.openxmlformats.org/officeDocument/2006/relationships/hyperlink" Target="mailto:a.s.parker0106@gmail.com" TargetMode="External"/><Relationship Id="rId69" Type="http://schemas.openxmlformats.org/officeDocument/2006/relationships/hyperlink" Target="mailto:a.s.parker0106@gmail.com" TargetMode="External"/><Relationship Id="rId51" Type="http://schemas.openxmlformats.org/officeDocument/2006/relationships/hyperlink" Target="mailto:cynical07@gmail.com" TargetMode="External"/><Relationship Id="rId50" Type="http://schemas.openxmlformats.org/officeDocument/2006/relationships/hyperlink" Target="mailto:a.s.parker0106@gmail.com" TargetMode="External"/><Relationship Id="rId53" Type="http://schemas.openxmlformats.org/officeDocument/2006/relationships/hyperlink" Target="mailto:a.s.parker0106@gmail.com" TargetMode="External"/><Relationship Id="rId52" Type="http://schemas.openxmlformats.org/officeDocument/2006/relationships/hyperlink" Target="mailto:a.s.parker0106@gmail.com" TargetMode="External"/><Relationship Id="rId55" Type="http://schemas.openxmlformats.org/officeDocument/2006/relationships/hyperlink" Target="mailto:a.s.parker0106@gmail.com" TargetMode="External"/><Relationship Id="rId54" Type="http://schemas.openxmlformats.org/officeDocument/2006/relationships/hyperlink" Target="mailto:a.s.parker0106@gmail.com" TargetMode="External"/><Relationship Id="rId57" Type="http://schemas.openxmlformats.org/officeDocument/2006/relationships/hyperlink" Target="mailto:a.s.parker0106@gmail.com" TargetMode="External"/><Relationship Id="rId56" Type="http://schemas.openxmlformats.org/officeDocument/2006/relationships/hyperlink" Target="mailto:a.s.parker0106@gmail.com" TargetMode="External"/><Relationship Id="rId59" Type="http://schemas.openxmlformats.org/officeDocument/2006/relationships/hyperlink" Target="mailto:a.s.parker0106@gmail.com" TargetMode="External"/><Relationship Id="rId58" Type="http://schemas.openxmlformats.org/officeDocument/2006/relationships/hyperlink" Target="mailto:a.s.parker0106@gmail.com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mailto:a.s.parker0106@gmail.com" TargetMode="External"/><Relationship Id="rId42" Type="http://schemas.openxmlformats.org/officeDocument/2006/relationships/hyperlink" Target="mailto:a.s.parker0106@gmail.com" TargetMode="External"/><Relationship Id="rId41" Type="http://schemas.openxmlformats.org/officeDocument/2006/relationships/hyperlink" Target="mailto:a.s.parker0106@gmail.com" TargetMode="External"/><Relationship Id="rId44" Type="http://schemas.openxmlformats.org/officeDocument/2006/relationships/hyperlink" Target="mailto:a.s.parker0106@gmail.com" TargetMode="External"/><Relationship Id="rId43" Type="http://schemas.openxmlformats.org/officeDocument/2006/relationships/hyperlink" Target="mailto:a.s.parker0106@gmail.com" TargetMode="External"/><Relationship Id="rId46" Type="http://schemas.openxmlformats.org/officeDocument/2006/relationships/hyperlink" Target="mailto:a.s.parker0106@gmail.com" TargetMode="External"/><Relationship Id="rId45" Type="http://schemas.openxmlformats.org/officeDocument/2006/relationships/hyperlink" Target="mailto:a.s.parker0106@gmail.com" TargetMode="External"/><Relationship Id="rId48" Type="http://schemas.openxmlformats.org/officeDocument/2006/relationships/hyperlink" Target="mailto:a.s.parker0106@gmail.com" TargetMode="External"/><Relationship Id="rId47" Type="http://schemas.openxmlformats.org/officeDocument/2006/relationships/hyperlink" Target="mailto:a.s.parker0106@gmail.com" TargetMode="External"/><Relationship Id="rId49" Type="http://schemas.openxmlformats.org/officeDocument/2006/relationships/hyperlink" Target="mailto:a.s.parker0106@gmail.com" TargetMode="External"/><Relationship Id="rId31" Type="http://schemas.openxmlformats.org/officeDocument/2006/relationships/hyperlink" Target="mailto:a.s.parker0106@gmail.com" TargetMode="External"/><Relationship Id="rId30" Type="http://schemas.openxmlformats.org/officeDocument/2006/relationships/hyperlink" Target="mailto:a.s.parker0106@gmail.com" TargetMode="External"/><Relationship Id="rId33" Type="http://schemas.openxmlformats.org/officeDocument/2006/relationships/hyperlink" Target="mailto:a.s.parker0106@gmail.com" TargetMode="External"/><Relationship Id="rId32" Type="http://schemas.openxmlformats.org/officeDocument/2006/relationships/hyperlink" Target="mailto:cynical07@gmail.com" TargetMode="External"/><Relationship Id="rId35" Type="http://schemas.openxmlformats.org/officeDocument/2006/relationships/hyperlink" Target="mailto:a.s.parker0106@gmail.com" TargetMode="External"/><Relationship Id="rId34" Type="http://schemas.openxmlformats.org/officeDocument/2006/relationships/hyperlink" Target="mailto:a.s.parker0106@gmail.com" TargetMode="External"/><Relationship Id="rId37" Type="http://schemas.openxmlformats.org/officeDocument/2006/relationships/hyperlink" Target="mailto:a.s.parker0106@gmail.com" TargetMode="External"/><Relationship Id="rId36" Type="http://schemas.openxmlformats.org/officeDocument/2006/relationships/hyperlink" Target="mailto:a.s.parker0106@gmail.com" TargetMode="External"/><Relationship Id="rId39" Type="http://schemas.openxmlformats.org/officeDocument/2006/relationships/hyperlink" Target="mailto:a.s.parker0106@gmail.com" TargetMode="External"/><Relationship Id="rId38" Type="http://schemas.openxmlformats.org/officeDocument/2006/relationships/hyperlink" Target="mailto:cynical07@gmail.com" TargetMode="External"/><Relationship Id="rId20" Type="http://schemas.openxmlformats.org/officeDocument/2006/relationships/hyperlink" Target="mailto:a.s.parker0106@gmail.com" TargetMode="External"/><Relationship Id="rId22" Type="http://schemas.openxmlformats.org/officeDocument/2006/relationships/hyperlink" Target="mailto:a.s.parker0106@gmail.com" TargetMode="External"/><Relationship Id="rId21" Type="http://schemas.openxmlformats.org/officeDocument/2006/relationships/hyperlink" Target="mailto:a.s.parker0106@gmail.com" TargetMode="External"/><Relationship Id="rId24" Type="http://schemas.openxmlformats.org/officeDocument/2006/relationships/hyperlink" Target="mailto:a.s.parker0106@gmail.com" TargetMode="External"/><Relationship Id="rId23" Type="http://schemas.openxmlformats.org/officeDocument/2006/relationships/hyperlink" Target="mailto:a.s.parker0106@gmail.com" TargetMode="External"/><Relationship Id="rId26" Type="http://schemas.openxmlformats.org/officeDocument/2006/relationships/hyperlink" Target="mailto:a.s.parker0106@gmail.com" TargetMode="External"/><Relationship Id="rId25" Type="http://schemas.openxmlformats.org/officeDocument/2006/relationships/hyperlink" Target="mailto:a.s.parker0106@gmail.com" TargetMode="External"/><Relationship Id="rId28" Type="http://schemas.openxmlformats.org/officeDocument/2006/relationships/hyperlink" Target="mailto:a.s.parker0106@gmail.com" TargetMode="External"/><Relationship Id="rId27" Type="http://schemas.openxmlformats.org/officeDocument/2006/relationships/hyperlink" Target="mailto:a.s.parker0106@gmail.com" TargetMode="External"/><Relationship Id="rId29" Type="http://schemas.openxmlformats.org/officeDocument/2006/relationships/hyperlink" Target="mailto:a.s.parker0106@gmail.com" TargetMode="External"/><Relationship Id="rId11" Type="http://schemas.openxmlformats.org/officeDocument/2006/relationships/hyperlink" Target="mailto:a.s.parker0106@gmail.com" TargetMode="External"/><Relationship Id="rId10" Type="http://schemas.openxmlformats.org/officeDocument/2006/relationships/hyperlink" Target="mailto:a.s.parker0106@gmail.com" TargetMode="External"/><Relationship Id="rId13" Type="http://schemas.openxmlformats.org/officeDocument/2006/relationships/hyperlink" Target="mailto:a.s.parker0106@gmail.com" TargetMode="External"/><Relationship Id="rId12" Type="http://schemas.openxmlformats.org/officeDocument/2006/relationships/hyperlink" Target="mailto:a.s.parker0106@gmail.com" TargetMode="External"/><Relationship Id="rId15" Type="http://schemas.openxmlformats.org/officeDocument/2006/relationships/hyperlink" Target="mailto:a.s.parker0106@gmail.com" TargetMode="External"/><Relationship Id="rId14" Type="http://schemas.openxmlformats.org/officeDocument/2006/relationships/hyperlink" Target="mailto:a.s.parker0106@gmail.com" TargetMode="External"/><Relationship Id="rId17" Type="http://schemas.openxmlformats.org/officeDocument/2006/relationships/hyperlink" Target="mailto:a.s.parker0106@gmail.com" TargetMode="External"/><Relationship Id="rId16" Type="http://schemas.openxmlformats.org/officeDocument/2006/relationships/hyperlink" Target="mailto:a.s.parker0106@gmail.com" TargetMode="External"/><Relationship Id="rId19" Type="http://schemas.openxmlformats.org/officeDocument/2006/relationships/hyperlink" Target="mailto:a.s.parker0106@gmail.com" TargetMode="External"/><Relationship Id="rId18" Type="http://schemas.openxmlformats.org/officeDocument/2006/relationships/hyperlink" Target="mailto:a.s.parker0106@gmail.com" TargetMode="External"/><Relationship Id="rId84" Type="http://schemas.openxmlformats.org/officeDocument/2006/relationships/hyperlink" Target="mailto:a.s.parker0106@gmail.com" TargetMode="External"/><Relationship Id="rId83" Type="http://schemas.openxmlformats.org/officeDocument/2006/relationships/hyperlink" Target="mailto:a.s.parker0106@gmail.com" TargetMode="External"/><Relationship Id="rId85" Type="http://schemas.openxmlformats.org/officeDocument/2006/relationships/drawing" Target="../drawings/drawing12.xml"/><Relationship Id="rId87" Type="http://schemas.openxmlformats.org/officeDocument/2006/relationships/table" Target="../tables/table12.xml"/><Relationship Id="rId80" Type="http://schemas.openxmlformats.org/officeDocument/2006/relationships/hyperlink" Target="mailto:a.s.parker0106@gmail.com" TargetMode="External"/><Relationship Id="rId82" Type="http://schemas.openxmlformats.org/officeDocument/2006/relationships/hyperlink" Target="mailto:a.s.parker0106@gmail.com" TargetMode="External"/><Relationship Id="rId81" Type="http://schemas.openxmlformats.org/officeDocument/2006/relationships/hyperlink" Target="mailto:a.s.parker0106@gmail.com" TargetMode="External"/><Relationship Id="rId1" Type="http://schemas.openxmlformats.org/officeDocument/2006/relationships/hyperlink" Target="mailto:a.s.parker0106@gmail.com" TargetMode="External"/><Relationship Id="rId2" Type="http://schemas.openxmlformats.org/officeDocument/2006/relationships/hyperlink" Target="mailto:cynical07@gmail.com" TargetMode="External"/><Relationship Id="rId3" Type="http://schemas.openxmlformats.org/officeDocument/2006/relationships/hyperlink" Target="mailto:a.s.parker0106@gmail.com" TargetMode="External"/><Relationship Id="rId4" Type="http://schemas.openxmlformats.org/officeDocument/2006/relationships/hyperlink" Target="mailto:a.s.parker0106@gmail.com" TargetMode="External"/><Relationship Id="rId9" Type="http://schemas.openxmlformats.org/officeDocument/2006/relationships/hyperlink" Target="mailto:cynical07@gmail.com" TargetMode="External"/><Relationship Id="rId5" Type="http://schemas.openxmlformats.org/officeDocument/2006/relationships/hyperlink" Target="mailto:a.s.parker0106@gmail.com" TargetMode="External"/><Relationship Id="rId6" Type="http://schemas.openxmlformats.org/officeDocument/2006/relationships/hyperlink" Target="mailto:a.s.parker0106@gmail.com" TargetMode="External"/><Relationship Id="rId7" Type="http://schemas.openxmlformats.org/officeDocument/2006/relationships/hyperlink" Target="mailto:a.s.parker0106@gmail.com" TargetMode="External"/><Relationship Id="rId8" Type="http://schemas.openxmlformats.org/officeDocument/2006/relationships/hyperlink" Target="mailto:cynical07@gmail.com" TargetMode="External"/><Relationship Id="rId73" Type="http://schemas.openxmlformats.org/officeDocument/2006/relationships/hyperlink" Target="mailto:a.s.parker0106@gmail.com" TargetMode="External"/><Relationship Id="rId72" Type="http://schemas.openxmlformats.org/officeDocument/2006/relationships/hyperlink" Target="mailto:a.s.parker0106@gmail.com" TargetMode="External"/><Relationship Id="rId75" Type="http://schemas.openxmlformats.org/officeDocument/2006/relationships/hyperlink" Target="mailto:a.s.parker0106@gmail.com" TargetMode="External"/><Relationship Id="rId74" Type="http://schemas.openxmlformats.org/officeDocument/2006/relationships/hyperlink" Target="mailto:a.s.parker0106@gmail.com" TargetMode="External"/><Relationship Id="rId77" Type="http://schemas.openxmlformats.org/officeDocument/2006/relationships/hyperlink" Target="mailto:a.s.parker0106@gmail.com" TargetMode="External"/><Relationship Id="rId76" Type="http://schemas.openxmlformats.org/officeDocument/2006/relationships/hyperlink" Target="mailto:a.s.parker0106@gmail.com" TargetMode="External"/><Relationship Id="rId79" Type="http://schemas.openxmlformats.org/officeDocument/2006/relationships/hyperlink" Target="mailto:a.s.parker0106@gmail.com" TargetMode="External"/><Relationship Id="rId78" Type="http://schemas.openxmlformats.org/officeDocument/2006/relationships/hyperlink" Target="mailto:a.s.parker0106@gmail.com" TargetMode="External"/><Relationship Id="rId71" Type="http://schemas.openxmlformats.org/officeDocument/2006/relationships/hyperlink" Target="mailto:a.s.parker0106@gmail.com" TargetMode="External"/><Relationship Id="rId70" Type="http://schemas.openxmlformats.org/officeDocument/2006/relationships/hyperlink" Target="mailto:a.s.parker0106@gmail.com" TargetMode="External"/><Relationship Id="rId62" Type="http://schemas.openxmlformats.org/officeDocument/2006/relationships/hyperlink" Target="mailto:a.s.parker0106@gmail.com" TargetMode="External"/><Relationship Id="rId61" Type="http://schemas.openxmlformats.org/officeDocument/2006/relationships/hyperlink" Target="mailto:a.s.parker0106@gmail.com" TargetMode="External"/><Relationship Id="rId64" Type="http://schemas.openxmlformats.org/officeDocument/2006/relationships/hyperlink" Target="mailto:a.s.parker0106@gmail.com" TargetMode="External"/><Relationship Id="rId63" Type="http://schemas.openxmlformats.org/officeDocument/2006/relationships/hyperlink" Target="mailto:a.s.parker0106@gmail.com" TargetMode="External"/><Relationship Id="rId66" Type="http://schemas.openxmlformats.org/officeDocument/2006/relationships/hyperlink" Target="mailto:a.s.parker0106@gmail.com" TargetMode="External"/><Relationship Id="rId65" Type="http://schemas.openxmlformats.org/officeDocument/2006/relationships/hyperlink" Target="mailto:a.s.parker0106@gmail.com" TargetMode="External"/><Relationship Id="rId68" Type="http://schemas.openxmlformats.org/officeDocument/2006/relationships/hyperlink" Target="mailto:a.s.parker0106@gmail.com" TargetMode="External"/><Relationship Id="rId67" Type="http://schemas.openxmlformats.org/officeDocument/2006/relationships/hyperlink" Target="mailto:a.s.parker0106@gmail.com" TargetMode="External"/><Relationship Id="rId60" Type="http://schemas.openxmlformats.org/officeDocument/2006/relationships/hyperlink" Target="mailto:a.s.parker0106@gmail.com" TargetMode="External"/><Relationship Id="rId69" Type="http://schemas.openxmlformats.org/officeDocument/2006/relationships/hyperlink" Target="mailto:a.s.parker0106@gmail.com" TargetMode="External"/><Relationship Id="rId51" Type="http://schemas.openxmlformats.org/officeDocument/2006/relationships/hyperlink" Target="mailto:cynical07@gmail.com" TargetMode="External"/><Relationship Id="rId50" Type="http://schemas.openxmlformats.org/officeDocument/2006/relationships/hyperlink" Target="mailto:cynical07@gmail.com" TargetMode="External"/><Relationship Id="rId53" Type="http://schemas.openxmlformats.org/officeDocument/2006/relationships/hyperlink" Target="mailto:a.s.parker0106@gmail.com" TargetMode="External"/><Relationship Id="rId52" Type="http://schemas.openxmlformats.org/officeDocument/2006/relationships/hyperlink" Target="mailto:a.s.parker0106@gmail.com" TargetMode="External"/><Relationship Id="rId55" Type="http://schemas.openxmlformats.org/officeDocument/2006/relationships/hyperlink" Target="mailto:a.s.parker0106@gmail.com" TargetMode="External"/><Relationship Id="rId54" Type="http://schemas.openxmlformats.org/officeDocument/2006/relationships/hyperlink" Target="mailto:a.s.parker0106@gmail.com" TargetMode="External"/><Relationship Id="rId57" Type="http://schemas.openxmlformats.org/officeDocument/2006/relationships/hyperlink" Target="mailto:a.s.parker0106@gmail.com" TargetMode="External"/><Relationship Id="rId56" Type="http://schemas.openxmlformats.org/officeDocument/2006/relationships/hyperlink" Target="mailto:a.s.parker0106@gmail.com" TargetMode="External"/><Relationship Id="rId59" Type="http://schemas.openxmlformats.org/officeDocument/2006/relationships/hyperlink" Target="mailto:a.s.parker0106@gmail.com" TargetMode="External"/><Relationship Id="rId58" Type="http://schemas.openxmlformats.org/officeDocument/2006/relationships/hyperlink" Target="mailto:a.s.parker01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38"/>
    <col customWidth="1" min="3" max="3" width="22.38"/>
    <col customWidth="1" min="4" max="4" width="14.63"/>
    <col customWidth="1" min="5" max="5" width="15.38"/>
    <col customWidth="1" min="6" max="6" width="16.75"/>
    <col hidden="1" min="7" max="28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22.5" customHeight="1">
      <c r="A2" s="4">
        <v>45658.0</v>
      </c>
      <c r="B2" s="5" t="s">
        <v>11</v>
      </c>
      <c r="C2" s="6" t="s">
        <v>12</v>
      </c>
      <c r="D2" s="7">
        <v>28000.0</v>
      </c>
      <c r="E2" s="5" t="s">
        <v>13</v>
      </c>
      <c r="F2" s="8" t="s">
        <v>14</v>
      </c>
      <c r="G2" s="9"/>
      <c r="H2" s="9"/>
      <c r="I2" s="9"/>
      <c r="J2" s="9"/>
      <c r="K2" s="9"/>
    </row>
    <row r="3" ht="22.5" customHeight="1">
      <c r="A3" s="4">
        <v>45658.0</v>
      </c>
      <c r="B3" s="5" t="s">
        <v>11</v>
      </c>
      <c r="C3" s="6" t="s">
        <v>15</v>
      </c>
      <c r="D3" s="7">
        <v>22000.0</v>
      </c>
      <c r="E3" s="5" t="s">
        <v>13</v>
      </c>
      <c r="F3" s="8" t="s">
        <v>16</v>
      </c>
      <c r="G3" s="9"/>
      <c r="H3" s="9"/>
      <c r="I3" s="9"/>
      <c r="J3" s="9"/>
      <c r="K3" s="9"/>
    </row>
    <row r="4" ht="22.5" customHeight="1">
      <c r="A4" s="4">
        <v>45658.0</v>
      </c>
      <c r="B4" s="5" t="s">
        <v>17</v>
      </c>
      <c r="C4" s="6" t="s">
        <v>18</v>
      </c>
      <c r="D4" s="7">
        <v>-12000.0</v>
      </c>
      <c r="E4" s="5" t="s">
        <v>13</v>
      </c>
      <c r="F4" s="8" t="s">
        <v>14</v>
      </c>
      <c r="G4" s="9"/>
      <c r="H4" s="9"/>
      <c r="I4" s="9"/>
      <c r="J4" s="9"/>
      <c r="K4" s="9"/>
    </row>
    <row r="5" ht="22.5" customHeight="1">
      <c r="A5" s="4">
        <v>45688.0</v>
      </c>
      <c r="B5" s="5" t="s">
        <v>17</v>
      </c>
      <c r="C5" s="6" t="s">
        <v>19</v>
      </c>
      <c r="D5" s="7">
        <v>-3015.0</v>
      </c>
      <c r="E5" s="5" t="s">
        <v>13</v>
      </c>
      <c r="F5" s="8" t="s">
        <v>14</v>
      </c>
      <c r="G5" s="9"/>
      <c r="H5" s="9"/>
      <c r="I5" s="9"/>
      <c r="J5" s="9"/>
      <c r="K5" s="9"/>
    </row>
    <row r="6" ht="22.5" customHeight="1">
      <c r="A6" s="4">
        <v>45663.0</v>
      </c>
      <c r="B6" s="5" t="s">
        <v>17</v>
      </c>
      <c r="C6" s="6" t="s">
        <v>20</v>
      </c>
      <c r="D6" s="7">
        <v>-660.0</v>
      </c>
      <c r="E6" s="5" t="s">
        <v>13</v>
      </c>
      <c r="F6" s="8" t="s">
        <v>14</v>
      </c>
      <c r="G6" s="9"/>
      <c r="H6" s="9"/>
      <c r="I6" s="9"/>
      <c r="J6" s="9"/>
      <c r="K6" s="9"/>
    </row>
    <row r="7" ht="22.5" customHeight="1">
      <c r="A7" s="4">
        <v>45688.0</v>
      </c>
      <c r="B7" s="5" t="s">
        <v>17</v>
      </c>
      <c r="C7" s="6" t="s">
        <v>21</v>
      </c>
      <c r="D7" s="7">
        <v>-390.0</v>
      </c>
      <c r="E7" s="5" t="s">
        <v>13</v>
      </c>
      <c r="F7" s="8" t="s">
        <v>14</v>
      </c>
      <c r="G7" s="9"/>
      <c r="H7" s="9"/>
      <c r="I7" s="9"/>
      <c r="J7" s="9"/>
      <c r="K7" s="9"/>
    </row>
  </sheetData>
  <dataValidations>
    <dataValidation type="list" allowBlank="1" sqref="B2:B7">
      <formula1>"Income,Trasportation,Accommdation,Others,Food,Entertainment "</formula1>
    </dataValidation>
    <dataValidation type="custom" allowBlank="1" showDropDown="1" sqref="A2:A7">
      <formula1>OR(NOT(ISERROR(DATEVALUE(A2))), AND(ISNUMBER(A2), LEFT(CELL("format", A2))="D"))</formula1>
    </dataValidation>
    <dataValidation type="custom" allowBlank="1" showDropDown="1" sqref="D2:D7">
      <formula1>AND(ISNUMBER(D2),(NOT(OR(NOT(ISERROR(DATEVALUE(D2))), AND(ISNUMBER(D2), LEFT(CELL("format", D2))="D")))))</formula1>
    </dataValidation>
    <dataValidation type="list" allowBlank="1" sqref="E2:E7">
      <formula1>"AUD,TWD"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</hyperlinks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4">
        <v>45689.0</v>
      </c>
      <c r="B2" s="5" t="s">
        <v>11</v>
      </c>
      <c r="C2" s="6" t="s">
        <v>12</v>
      </c>
      <c r="D2" s="7">
        <v>28000.0</v>
      </c>
      <c r="E2" s="5" t="s">
        <v>13</v>
      </c>
      <c r="F2" s="8" t="s">
        <v>14</v>
      </c>
    </row>
    <row r="3" ht="22.5" customHeight="1">
      <c r="A3" s="4">
        <v>45689.0</v>
      </c>
      <c r="B3" s="5" t="s">
        <v>11</v>
      </c>
      <c r="C3" s="6" t="s">
        <v>15</v>
      </c>
      <c r="D3" s="7">
        <v>7200.0</v>
      </c>
      <c r="E3" s="5" t="s">
        <v>13</v>
      </c>
      <c r="F3" s="8" t="s">
        <v>16</v>
      </c>
    </row>
    <row r="4" ht="22.5" customHeight="1">
      <c r="A4" s="4">
        <v>45689.0</v>
      </c>
      <c r="B4" s="5" t="s">
        <v>17</v>
      </c>
      <c r="C4" s="6" t="s">
        <v>18</v>
      </c>
      <c r="D4" s="7">
        <v>-12000.0</v>
      </c>
      <c r="E4" s="5" t="s">
        <v>13</v>
      </c>
      <c r="F4" s="8" t="s">
        <v>14</v>
      </c>
    </row>
    <row r="5" ht="22.5" customHeight="1">
      <c r="A5" s="4">
        <v>45699.0</v>
      </c>
      <c r="B5" s="5" t="s">
        <v>22</v>
      </c>
      <c r="C5" s="6" t="s">
        <v>23</v>
      </c>
      <c r="D5" s="7">
        <v>-110.0</v>
      </c>
      <c r="E5" s="5" t="s">
        <v>13</v>
      </c>
      <c r="F5" s="8" t="s">
        <v>14</v>
      </c>
    </row>
    <row r="6" ht="22.5" customHeight="1">
      <c r="A6" s="4">
        <v>45699.0</v>
      </c>
      <c r="B6" s="5" t="s">
        <v>22</v>
      </c>
      <c r="C6" s="6" t="s">
        <v>24</v>
      </c>
      <c r="D6" s="7">
        <v>-1110.0</v>
      </c>
      <c r="E6" s="5" t="s">
        <v>13</v>
      </c>
      <c r="F6" s="8" t="s">
        <v>14</v>
      </c>
    </row>
    <row r="7" ht="22.5" customHeight="1">
      <c r="A7" s="4">
        <v>45699.0</v>
      </c>
      <c r="B7" s="5" t="s">
        <v>22</v>
      </c>
      <c r="C7" s="6" t="s">
        <v>25</v>
      </c>
      <c r="D7" s="7">
        <v>-412.0</v>
      </c>
      <c r="E7" s="5" t="s">
        <v>13</v>
      </c>
      <c r="F7" s="8" t="s">
        <v>14</v>
      </c>
    </row>
    <row r="8" ht="22.5" customHeight="1">
      <c r="A8" s="4">
        <v>45700.0</v>
      </c>
      <c r="B8" s="5" t="s">
        <v>22</v>
      </c>
      <c r="C8" s="6" t="s">
        <v>24</v>
      </c>
      <c r="D8" s="7">
        <v>-894.0</v>
      </c>
      <c r="E8" s="5" t="s">
        <v>13</v>
      </c>
      <c r="F8" s="8" t="s">
        <v>14</v>
      </c>
    </row>
    <row r="9" ht="22.5" customHeight="1">
      <c r="A9" s="4">
        <v>45701.0</v>
      </c>
      <c r="B9" s="5" t="s">
        <v>22</v>
      </c>
      <c r="C9" s="6" t="s">
        <v>24</v>
      </c>
      <c r="D9" s="7">
        <v>-280.0</v>
      </c>
      <c r="E9" s="5" t="s">
        <v>13</v>
      </c>
      <c r="F9" s="8" t="s">
        <v>14</v>
      </c>
    </row>
    <row r="10" ht="22.5" customHeight="1">
      <c r="A10" s="4">
        <v>45701.0</v>
      </c>
      <c r="B10" s="5" t="s">
        <v>17</v>
      </c>
      <c r="C10" s="6" t="s">
        <v>26</v>
      </c>
      <c r="D10" s="7">
        <v>-100.0</v>
      </c>
      <c r="E10" s="5" t="s">
        <v>13</v>
      </c>
      <c r="F10" s="8" t="s">
        <v>14</v>
      </c>
    </row>
    <row r="11" ht="22.5" customHeight="1">
      <c r="A11" s="4">
        <v>45702.0</v>
      </c>
      <c r="B11" s="5" t="s">
        <v>22</v>
      </c>
      <c r="C11" s="6" t="s">
        <v>27</v>
      </c>
      <c r="D11" s="7">
        <v>-214.0</v>
      </c>
      <c r="E11" s="5" t="s">
        <v>13</v>
      </c>
      <c r="F11" s="8" t="s">
        <v>14</v>
      </c>
    </row>
    <row r="12" ht="22.5" customHeight="1">
      <c r="A12" s="4">
        <v>45703.0</v>
      </c>
      <c r="B12" s="5" t="s">
        <v>22</v>
      </c>
      <c r="C12" s="6" t="s">
        <v>27</v>
      </c>
      <c r="D12" s="7">
        <v>-408.0</v>
      </c>
      <c r="E12" s="5" t="s">
        <v>13</v>
      </c>
      <c r="F12" s="8" t="s">
        <v>14</v>
      </c>
    </row>
    <row r="13" ht="22.5" customHeight="1">
      <c r="A13" s="4">
        <v>45703.0</v>
      </c>
      <c r="B13" s="5" t="s">
        <v>28</v>
      </c>
      <c r="C13" s="6" t="s">
        <v>29</v>
      </c>
      <c r="D13" s="7">
        <v>474.0</v>
      </c>
      <c r="E13" s="5" t="s">
        <v>13</v>
      </c>
      <c r="F13" s="8" t="s">
        <v>16</v>
      </c>
    </row>
    <row r="14" ht="22.5" customHeight="1">
      <c r="A14" s="10">
        <v>45703.0</v>
      </c>
      <c r="B14" s="11" t="s">
        <v>30</v>
      </c>
      <c r="C14" s="12" t="s">
        <v>31</v>
      </c>
      <c r="D14" s="13">
        <v>-60.0</v>
      </c>
      <c r="E14" s="11" t="s">
        <v>13</v>
      </c>
      <c r="F14" s="14" t="s">
        <v>14</v>
      </c>
    </row>
    <row r="15" ht="22.5" customHeight="1">
      <c r="A15" s="10">
        <v>45703.0</v>
      </c>
      <c r="B15" s="11" t="s">
        <v>17</v>
      </c>
      <c r="C15" s="12" t="s">
        <v>32</v>
      </c>
      <c r="D15" s="13">
        <v>-581.0</v>
      </c>
      <c r="E15" s="11" t="s">
        <v>13</v>
      </c>
      <c r="F15" s="14" t="s">
        <v>14</v>
      </c>
    </row>
    <row r="16" ht="22.5" customHeight="1">
      <c r="A16" s="10">
        <v>45703.0</v>
      </c>
      <c r="B16" s="11" t="s">
        <v>22</v>
      </c>
      <c r="C16" s="12" t="s">
        <v>29</v>
      </c>
      <c r="D16" s="13">
        <v>-2007.0</v>
      </c>
      <c r="E16" s="11" t="s">
        <v>13</v>
      </c>
      <c r="F16" s="14" t="s">
        <v>14</v>
      </c>
    </row>
    <row r="17" ht="22.5" customHeight="1">
      <c r="A17" s="10">
        <v>45704.0</v>
      </c>
      <c r="B17" s="11" t="s">
        <v>22</v>
      </c>
      <c r="C17" s="12" t="s">
        <v>27</v>
      </c>
      <c r="D17" s="13">
        <v>-27.0</v>
      </c>
      <c r="E17" s="11" t="s">
        <v>13</v>
      </c>
      <c r="F17" s="14" t="s">
        <v>14</v>
      </c>
    </row>
    <row r="18" ht="22.5" customHeight="1">
      <c r="A18" s="10">
        <v>45704.0</v>
      </c>
      <c r="B18" s="11" t="s">
        <v>17</v>
      </c>
      <c r="C18" s="12" t="s">
        <v>33</v>
      </c>
      <c r="D18" s="13">
        <v>-339.0</v>
      </c>
      <c r="E18" s="11" t="s">
        <v>13</v>
      </c>
      <c r="F18" s="14" t="s">
        <v>14</v>
      </c>
    </row>
    <row r="19" ht="22.5" customHeight="1">
      <c r="A19" s="10">
        <v>45704.0</v>
      </c>
      <c r="B19" s="11" t="s">
        <v>17</v>
      </c>
      <c r="C19" s="12" t="s">
        <v>34</v>
      </c>
      <c r="D19" s="13">
        <v>-539.0</v>
      </c>
      <c r="E19" s="11" t="s">
        <v>13</v>
      </c>
      <c r="F19" s="14" t="s">
        <v>14</v>
      </c>
    </row>
    <row r="20" ht="22.5" customHeight="1">
      <c r="A20" s="10">
        <v>45711.0</v>
      </c>
      <c r="B20" s="11" t="s">
        <v>22</v>
      </c>
      <c r="C20" s="12" t="s">
        <v>29</v>
      </c>
      <c r="D20" s="13">
        <v>-3080.0</v>
      </c>
      <c r="E20" s="11" t="s">
        <v>13</v>
      </c>
      <c r="F20" s="14" t="s">
        <v>14</v>
      </c>
    </row>
    <row r="21" ht="22.5" customHeight="1">
      <c r="A21" s="10">
        <v>45711.0</v>
      </c>
      <c r="B21" s="11" t="s">
        <v>22</v>
      </c>
      <c r="C21" s="12" t="s">
        <v>35</v>
      </c>
      <c r="D21" s="13">
        <v>-149.0</v>
      </c>
      <c r="E21" s="11" t="s">
        <v>13</v>
      </c>
      <c r="F21" s="14" t="s">
        <v>14</v>
      </c>
    </row>
    <row r="22" ht="22.5" customHeight="1">
      <c r="A22" s="10">
        <v>45711.0</v>
      </c>
      <c r="B22" s="11" t="s">
        <v>17</v>
      </c>
      <c r="C22" s="12" t="s">
        <v>20</v>
      </c>
      <c r="D22" s="13">
        <v>-660.0</v>
      </c>
      <c r="E22" s="11" t="s">
        <v>13</v>
      </c>
      <c r="F22" s="14" t="s">
        <v>14</v>
      </c>
    </row>
    <row r="23" ht="22.5" customHeight="1">
      <c r="A23" s="10">
        <v>45711.0</v>
      </c>
      <c r="B23" s="11" t="s">
        <v>17</v>
      </c>
      <c r="C23" s="12" t="s">
        <v>21</v>
      </c>
      <c r="D23" s="13">
        <v>-690.0</v>
      </c>
      <c r="E23" s="11" t="s">
        <v>13</v>
      </c>
      <c r="F23" s="14" t="s">
        <v>14</v>
      </c>
    </row>
    <row r="24" ht="22.5" customHeight="1">
      <c r="A24" s="10">
        <v>45711.0</v>
      </c>
      <c r="B24" s="11" t="s">
        <v>17</v>
      </c>
      <c r="C24" s="12" t="s">
        <v>36</v>
      </c>
      <c r="D24" s="13">
        <v>-3750.0</v>
      </c>
      <c r="E24" s="11" t="s">
        <v>13</v>
      </c>
      <c r="F24" s="14" t="s">
        <v>14</v>
      </c>
    </row>
    <row r="25" ht="22.5" customHeight="1">
      <c r="A25" s="10">
        <v>45712.0</v>
      </c>
      <c r="B25" s="11" t="s">
        <v>22</v>
      </c>
      <c r="C25" s="12" t="s">
        <v>24</v>
      </c>
      <c r="D25" s="13">
        <v>-261.0</v>
      </c>
      <c r="E25" s="11" t="s">
        <v>13</v>
      </c>
      <c r="F25" s="14" t="s">
        <v>14</v>
      </c>
    </row>
    <row r="26" ht="22.5" customHeight="1">
      <c r="A26" s="10">
        <v>45716.0</v>
      </c>
      <c r="B26" s="11" t="s">
        <v>22</v>
      </c>
      <c r="C26" s="12" t="s">
        <v>37</v>
      </c>
      <c r="D26" s="13">
        <v>-170.0</v>
      </c>
      <c r="E26" s="11" t="s">
        <v>13</v>
      </c>
      <c r="F26" s="14" t="s">
        <v>14</v>
      </c>
    </row>
    <row r="27" ht="22.5" customHeight="1">
      <c r="A27" s="10">
        <v>45716.0</v>
      </c>
      <c r="B27" s="11" t="s">
        <v>22</v>
      </c>
      <c r="C27" s="12" t="s">
        <v>38</v>
      </c>
      <c r="D27" s="13">
        <v>-295.0</v>
      </c>
      <c r="E27" s="11" t="s">
        <v>13</v>
      </c>
      <c r="F27" s="14" t="s">
        <v>14</v>
      </c>
    </row>
    <row r="28" ht="22.5" customHeight="1">
      <c r="A28" s="10">
        <v>45716.0</v>
      </c>
      <c r="B28" s="11" t="s">
        <v>17</v>
      </c>
      <c r="C28" s="12" t="s">
        <v>39</v>
      </c>
      <c r="D28" s="13">
        <v>-1016.0</v>
      </c>
      <c r="E28" s="11" t="s">
        <v>13</v>
      </c>
      <c r="F28" s="14" t="s">
        <v>14</v>
      </c>
    </row>
  </sheetData>
  <dataValidations>
    <dataValidation type="custom" allowBlank="1" showDropDown="1" sqref="A2:A28">
      <formula1>OR(NOT(ISERROR(DATEVALUE(A2))), AND(ISNUMBER(A2), LEFT(CELL("format", A2))="D"))</formula1>
    </dataValidation>
    <dataValidation type="list" allowBlank="1" sqref="B2:B28">
      <formula1>"Income,Trasportation,Accommdation,Others,Food,Entertainment ,Refound"</formula1>
    </dataValidation>
    <dataValidation type="custom" allowBlank="1" showDropDown="1" sqref="D2:D28">
      <formula1>AND(ISNUMBER(D2),(NOT(OR(NOT(ISERROR(DATEVALUE(D2))), AND(ISNUMBER(D2), LEFT(CELL("format", D2))="D")))))</formula1>
    </dataValidation>
    <dataValidation type="list" allowBlank="1" sqref="E2:E28">
      <formula1>"AUD,TWD"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</hyperlinks>
  <drawing r:id="rId28"/>
  <tableParts count="1">
    <tablePart r:id="rId3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2.38"/>
    <col customWidth="1" min="4" max="4" width="14.63"/>
    <col customWidth="1" min="5" max="5" width="15.38"/>
    <col customWidth="1" min="6" max="6" width="16.75"/>
    <col hidden="1" min="7" max="28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22.5" customHeight="1">
      <c r="A2" s="4">
        <v>45717.0</v>
      </c>
      <c r="B2" s="5" t="s">
        <v>11</v>
      </c>
      <c r="C2" s="6" t="s">
        <v>12</v>
      </c>
      <c r="D2" s="7">
        <v>28000.0</v>
      </c>
      <c r="E2" s="5" t="s">
        <v>13</v>
      </c>
      <c r="F2" s="8" t="s">
        <v>14</v>
      </c>
      <c r="G2" s="9"/>
      <c r="H2" s="9"/>
      <c r="I2" s="9"/>
      <c r="J2" s="9"/>
      <c r="K2" s="9"/>
    </row>
    <row r="3" ht="22.5" customHeight="1">
      <c r="A3" s="4">
        <v>45717.0</v>
      </c>
      <c r="B3" s="5" t="s">
        <v>11</v>
      </c>
      <c r="C3" s="6" t="s">
        <v>15</v>
      </c>
      <c r="D3" s="7">
        <v>11000.0</v>
      </c>
      <c r="E3" s="5" t="s">
        <v>13</v>
      </c>
      <c r="F3" s="8" t="s">
        <v>16</v>
      </c>
      <c r="G3" s="9"/>
      <c r="H3" s="9"/>
      <c r="I3" s="9"/>
      <c r="J3" s="9"/>
      <c r="K3" s="9"/>
    </row>
    <row r="4" ht="22.5" customHeight="1">
      <c r="A4" s="4">
        <v>45717.0</v>
      </c>
      <c r="B4" s="5" t="s">
        <v>17</v>
      </c>
      <c r="C4" s="6" t="s">
        <v>18</v>
      </c>
      <c r="D4" s="7">
        <v>-10000.0</v>
      </c>
      <c r="E4" s="5" t="s">
        <v>13</v>
      </c>
      <c r="F4" s="8" t="s">
        <v>14</v>
      </c>
      <c r="G4" s="9"/>
      <c r="H4" s="9"/>
      <c r="I4" s="9"/>
      <c r="J4" s="9"/>
      <c r="K4" s="9"/>
    </row>
    <row r="5" ht="22.5" customHeight="1">
      <c r="A5" s="4">
        <v>45717.0</v>
      </c>
      <c r="B5" s="5" t="s">
        <v>30</v>
      </c>
      <c r="C5" s="6" t="s">
        <v>31</v>
      </c>
      <c r="D5" s="7">
        <v>-230.0</v>
      </c>
      <c r="E5" s="5" t="s">
        <v>13</v>
      </c>
      <c r="F5" s="8" t="s">
        <v>14</v>
      </c>
      <c r="G5" s="9"/>
      <c r="H5" s="9"/>
      <c r="I5" s="9"/>
      <c r="J5" s="9"/>
      <c r="K5" s="9"/>
    </row>
    <row r="6" ht="22.5" customHeight="1">
      <c r="A6" s="4">
        <v>45717.0</v>
      </c>
      <c r="B6" s="5" t="s">
        <v>22</v>
      </c>
      <c r="C6" s="6" t="s">
        <v>40</v>
      </c>
      <c r="D6" s="7">
        <v>-290.0</v>
      </c>
      <c r="E6" s="5" t="s">
        <v>13</v>
      </c>
      <c r="F6" s="8" t="s">
        <v>14</v>
      </c>
      <c r="G6" s="9"/>
      <c r="H6" s="9"/>
      <c r="I6" s="9"/>
      <c r="J6" s="9"/>
      <c r="K6" s="9"/>
    </row>
    <row r="7" ht="22.5" customHeight="1">
      <c r="A7" s="4">
        <v>45717.0</v>
      </c>
      <c r="B7" s="5" t="s">
        <v>22</v>
      </c>
      <c r="C7" s="6" t="s">
        <v>29</v>
      </c>
      <c r="D7" s="7">
        <v>-2403.0</v>
      </c>
      <c r="E7" s="5" t="s">
        <v>13</v>
      </c>
      <c r="F7" s="8" t="s">
        <v>14</v>
      </c>
      <c r="G7" s="9"/>
      <c r="H7" s="9"/>
      <c r="I7" s="9"/>
      <c r="J7" s="9"/>
      <c r="K7" s="9"/>
    </row>
    <row r="8" ht="22.5" customHeight="1">
      <c r="A8" s="4">
        <v>45718.0</v>
      </c>
      <c r="B8" s="5" t="s">
        <v>22</v>
      </c>
      <c r="C8" s="6" t="s">
        <v>24</v>
      </c>
      <c r="D8" s="7">
        <v>-467.0</v>
      </c>
      <c r="E8" s="5" t="s">
        <v>13</v>
      </c>
      <c r="F8" s="8" t="s">
        <v>14</v>
      </c>
      <c r="G8" s="9"/>
      <c r="H8" s="9"/>
      <c r="I8" s="9"/>
      <c r="J8" s="9"/>
      <c r="K8" s="9"/>
    </row>
    <row r="9" ht="22.5" customHeight="1">
      <c r="A9" s="4">
        <v>45718.0</v>
      </c>
      <c r="B9" s="5" t="s">
        <v>30</v>
      </c>
      <c r="C9" s="6" t="s">
        <v>31</v>
      </c>
      <c r="D9" s="7">
        <v>-40.0</v>
      </c>
      <c r="E9" s="5" t="s">
        <v>13</v>
      </c>
      <c r="F9" s="8" t="s">
        <v>14</v>
      </c>
      <c r="G9" s="9"/>
      <c r="H9" s="9"/>
      <c r="I9" s="9"/>
      <c r="J9" s="9"/>
      <c r="K9" s="9"/>
    </row>
    <row r="10" ht="22.5" customHeight="1">
      <c r="A10" s="4">
        <v>45718.0</v>
      </c>
      <c r="B10" s="5" t="s">
        <v>22</v>
      </c>
      <c r="C10" s="6" t="s">
        <v>37</v>
      </c>
      <c r="D10" s="7">
        <v>-170.0</v>
      </c>
      <c r="E10" s="5" t="s">
        <v>13</v>
      </c>
      <c r="F10" s="8" t="s">
        <v>14</v>
      </c>
      <c r="G10" s="9"/>
      <c r="H10" s="9"/>
      <c r="I10" s="9"/>
      <c r="J10" s="9"/>
      <c r="K10" s="9"/>
    </row>
    <row r="11" ht="22.5" customHeight="1">
      <c r="A11" s="4">
        <v>45719.0</v>
      </c>
      <c r="B11" s="5" t="s">
        <v>22</v>
      </c>
      <c r="C11" s="6" t="s">
        <v>37</v>
      </c>
      <c r="D11" s="7">
        <v>-100.0</v>
      </c>
      <c r="E11" s="5" t="s">
        <v>13</v>
      </c>
      <c r="F11" s="8" t="s">
        <v>14</v>
      </c>
      <c r="G11" s="9"/>
      <c r="H11" s="9"/>
      <c r="I11" s="9"/>
      <c r="J11" s="9"/>
      <c r="K11" s="9"/>
    </row>
    <row r="12" ht="22.5" customHeight="1">
      <c r="A12" s="4">
        <v>45719.0</v>
      </c>
      <c r="B12" s="5" t="s">
        <v>30</v>
      </c>
      <c r="C12" s="6" t="s">
        <v>31</v>
      </c>
      <c r="D12" s="7">
        <v>-20.0</v>
      </c>
      <c r="E12" s="5" t="s">
        <v>13</v>
      </c>
      <c r="F12" s="8" t="s">
        <v>14</v>
      </c>
      <c r="G12" s="9"/>
      <c r="H12" s="9"/>
      <c r="I12" s="9"/>
      <c r="J12" s="9"/>
      <c r="K12" s="9"/>
    </row>
    <row r="13" ht="22.5" customHeight="1">
      <c r="A13" s="4">
        <v>45721.0</v>
      </c>
      <c r="B13" s="5" t="s">
        <v>22</v>
      </c>
      <c r="C13" s="6" t="s">
        <v>37</v>
      </c>
      <c r="D13" s="7">
        <v>-236.0</v>
      </c>
      <c r="E13" s="5" t="s">
        <v>13</v>
      </c>
      <c r="F13" s="8" t="s">
        <v>14</v>
      </c>
      <c r="G13" s="9"/>
      <c r="H13" s="9"/>
      <c r="I13" s="9"/>
      <c r="J13" s="9"/>
      <c r="K13" s="9"/>
    </row>
    <row r="14" ht="22.5" customHeight="1">
      <c r="A14" s="4">
        <v>45722.0</v>
      </c>
      <c r="B14" s="5" t="s">
        <v>17</v>
      </c>
      <c r="C14" s="6" t="s">
        <v>20</v>
      </c>
      <c r="D14" s="7">
        <v>-660.0</v>
      </c>
      <c r="E14" s="5" t="s">
        <v>13</v>
      </c>
      <c r="F14" s="8" t="s">
        <v>14</v>
      </c>
      <c r="G14" s="9"/>
      <c r="H14" s="9"/>
      <c r="I14" s="9"/>
      <c r="J14" s="9"/>
      <c r="K14" s="9"/>
    </row>
    <row r="15" ht="22.5" customHeight="1">
      <c r="A15" s="4">
        <v>45723.0</v>
      </c>
      <c r="B15" s="5" t="s">
        <v>17</v>
      </c>
      <c r="C15" s="6" t="s">
        <v>21</v>
      </c>
      <c r="D15" s="7">
        <v>-390.0</v>
      </c>
      <c r="E15" s="5" t="s">
        <v>13</v>
      </c>
      <c r="F15" s="8" t="s">
        <v>14</v>
      </c>
      <c r="G15" s="9"/>
      <c r="H15" s="9"/>
      <c r="I15" s="9"/>
      <c r="J15" s="9"/>
      <c r="K15" s="9"/>
    </row>
    <row r="16" ht="22.5" customHeight="1">
      <c r="A16" s="4">
        <v>45724.0</v>
      </c>
      <c r="B16" s="5" t="s">
        <v>22</v>
      </c>
      <c r="C16" s="6" t="s">
        <v>24</v>
      </c>
      <c r="D16" s="7">
        <v>-874.0</v>
      </c>
      <c r="E16" s="5" t="s">
        <v>13</v>
      </c>
      <c r="F16" s="8" t="s">
        <v>14</v>
      </c>
      <c r="G16" s="9"/>
      <c r="H16" s="9"/>
      <c r="I16" s="9"/>
      <c r="J16" s="9"/>
      <c r="K16" s="9"/>
    </row>
    <row r="17" ht="22.5" customHeight="1">
      <c r="A17" s="4">
        <v>45724.0</v>
      </c>
      <c r="B17" s="5" t="s">
        <v>22</v>
      </c>
      <c r="C17" s="6" t="s">
        <v>41</v>
      </c>
      <c r="D17" s="7">
        <v>-855.0</v>
      </c>
      <c r="E17" s="5" t="s">
        <v>13</v>
      </c>
      <c r="F17" s="8" t="s">
        <v>14</v>
      </c>
      <c r="G17" s="9"/>
      <c r="H17" s="9"/>
      <c r="I17" s="9"/>
      <c r="J17" s="9"/>
      <c r="K17" s="9"/>
    </row>
    <row r="18" ht="22.5" customHeight="1">
      <c r="A18" s="4">
        <v>45724.0</v>
      </c>
      <c r="B18" s="5" t="s">
        <v>30</v>
      </c>
      <c r="C18" s="6" t="s">
        <v>31</v>
      </c>
      <c r="D18" s="7">
        <v>-30.0</v>
      </c>
      <c r="E18" s="5" t="s">
        <v>13</v>
      </c>
      <c r="F18" s="8" t="s">
        <v>14</v>
      </c>
      <c r="G18" s="9"/>
      <c r="H18" s="9"/>
      <c r="I18" s="9"/>
      <c r="J18" s="9"/>
      <c r="K18" s="9"/>
    </row>
    <row r="19" ht="22.5" customHeight="1">
      <c r="A19" s="4">
        <v>45724.0</v>
      </c>
      <c r="B19" s="5" t="s">
        <v>22</v>
      </c>
      <c r="C19" s="6" t="s">
        <v>42</v>
      </c>
      <c r="D19" s="7">
        <v>-393.0</v>
      </c>
      <c r="E19" s="5" t="s">
        <v>13</v>
      </c>
      <c r="F19" s="8" t="s">
        <v>14</v>
      </c>
      <c r="G19" s="9"/>
      <c r="H19" s="9"/>
      <c r="I19" s="9"/>
      <c r="J19" s="9"/>
      <c r="K19" s="9"/>
    </row>
    <row r="20" ht="22.5" customHeight="1">
      <c r="A20" s="4">
        <v>45724.0</v>
      </c>
      <c r="B20" s="5" t="s">
        <v>22</v>
      </c>
      <c r="C20" s="6" t="s">
        <v>43</v>
      </c>
      <c r="D20" s="7">
        <v>-13.0</v>
      </c>
      <c r="E20" s="5" t="s">
        <v>13</v>
      </c>
      <c r="F20" s="8" t="s">
        <v>14</v>
      </c>
      <c r="G20" s="9"/>
      <c r="H20" s="9"/>
      <c r="I20" s="9"/>
      <c r="J20" s="9"/>
      <c r="K20" s="9"/>
    </row>
    <row r="21" ht="22.5" customHeight="1">
      <c r="A21" s="4">
        <v>45725.0</v>
      </c>
      <c r="B21" s="5" t="s">
        <v>30</v>
      </c>
      <c r="C21" s="6" t="s">
        <v>31</v>
      </c>
      <c r="D21" s="7">
        <v>-50.0</v>
      </c>
      <c r="E21" s="5" t="s">
        <v>13</v>
      </c>
      <c r="F21" s="8" t="s">
        <v>14</v>
      </c>
      <c r="G21" s="9"/>
      <c r="H21" s="9"/>
      <c r="I21" s="9"/>
      <c r="J21" s="9"/>
      <c r="K21" s="9"/>
    </row>
    <row r="22" ht="22.5" customHeight="1">
      <c r="A22" s="4">
        <v>45728.0</v>
      </c>
      <c r="B22" s="5" t="s">
        <v>22</v>
      </c>
      <c r="C22" s="6" t="s">
        <v>44</v>
      </c>
      <c r="D22" s="7">
        <v>-70.0</v>
      </c>
      <c r="E22" s="5" t="s">
        <v>13</v>
      </c>
      <c r="F22" s="8" t="s">
        <v>14</v>
      </c>
      <c r="G22" s="9"/>
      <c r="H22" s="9"/>
      <c r="I22" s="9"/>
      <c r="J22" s="9"/>
      <c r="K22" s="9"/>
    </row>
    <row r="23" ht="22.5" customHeight="1">
      <c r="A23" s="4">
        <v>45730.0</v>
      </c>
      <c r="B23" s="5" t="s">
        <v>22</v>
      </c>
      <c r="C23" s="6" t="s">
        <v>24</v>
      </c>
      <c r="D23" s="7">
        <v>-302.0</v>
      </c>
      <c r="E23" s="5" t="s">
        <v>13</v>
      </c>
      <c r="F23" s="8" t="s">
        <v>14</v>
      </c>
      <c r="G23" s="9"/>
      <c r="H23" s="9"/>
      <c r="I23" s="9"/>
      <c r="J23" s="9"/>
      <c r="K23" s="9"/>
    </row>
    <row r="24" ht="22.5" customHeight="1">
      <c r="A24" s="4">
        <v>45730.0</v>
      </c>
      <c r="B24" s="5" t="s">
        <v>17</v>
      </c>
      <c r="C24" s="6" t="s">
        <v>45</v>
      </c>
      <c r="D24" s="7">
        <v>-150.0</v>
      </c>
      <c r="E24" s="5" t="s">
        <v>13</v>
      </c>
      <c r="F24" s="8" t="s">
        <v>14</v>
      </c>
      <c r="G24" s="9"/>
      <c r="H24" s="9"/>
      <c r="I24" s="9"/>
      <c r="J24" s="9"/>
      <c r="K24" s="9"/>
    </row>
    <row r="25" ht="22.5" customHeight="1">
      <c r="A25" s="4">
        <v>45730.0</v>
      </c>
      <c r="B25" s="5" t="s">
        <v>22</v>
      </c>
      <c r="C25" s="6" t="s">
        <v>46</v>
      </c>
      <c r="D25" s="7">
        <v>-346.0</v>
      </c>
      <c r="E25" s="5" t="s">
        <v>13</v>
      </c>
      <c r="F25" s="8" t="s">
        <v>14</v>
      </c>
      <c r="G25" s="9"/>
      <c r="H25" s="9"/>
      <c r="I25" s="9"/>
      <c r="J25" s="9"/>
      <c r="K25" s="9"/>
    </row>
    <row r="26" ht="22.5" customHeight="1">
      <c r="A26" s="4">
        <v>45731.0</v>
      </c>
      <c r="B26" s="5" t="s">
        <v>22</v>
      </c>
      <c r="C26" s="6" t="s">
        <v>47</v>
      </c>
      <c r="D26" s="7">
        <v>-1620.0</v>
      </c>
      <c r="E26" s="5" t="s">
        <v>13</v>
      </c>
      <c r="F26" s="8" t="s">
        <v>14</v>
      </c>
      <c r="G26" s="9"/>
      <c r="H26" s="9"/>
      <c r="I26" s="9"/>
      <c r="J26" s="9"/>
      <c r="K26" s="9"/>
    </row>
    <row r="27" ht="22.5" customHeight="1">
      <c r="A27" s="4">
        <v>45731.0</v>
      </c>
      <c r="B27" s="5" t="s">
        <v>17</v>
      </c>
      <c r="C27" s="6" t="s">
        <v>48</v>
      </c>
      <c r="D27" s="7">
        <v>-150.0</v>
      </c>
      <c r="E27" s="5" t="s">
        <v>13</v>
      </c>
      <c r="F27" s="8" t="s">
        <v>14</v>
      </c>
      <c r="G27" s="9"/>
      <c r="H27" s="9"/>
      <c r="I27" s="9"/>
      <c r="J27" s="9"/>
      <c r="K27" s="9"/>
    </row>
    <row r="28" ht="22.5" customHeight="1">
      <c r="A28" s="10">
        <v>45731.0</v>
      </c>
      <c r="B28" s="11" t="s">
        <v>22</v>
      </c>
      <c r="C28" s="12" t="s">
        <v>49</v>
      </c>
      <c r="D28" s="13">
        <v>-89.0</v>
      </c>
      <c r="E28" s="11" t="s">
        <v>13</v>
      </c>
      <c r="F28" s="14" t="s">
        <v>14</v>
      </c>
      <c r="G28" s="9"/>
      <c r="H28" s="9"/>
      <c r="I28" s="9"/>
      <c r="J28" s="9"/>
      <c r="K28" s="9"/>
    </row>
    <row r="29" ht="22.5" customHeight="1">
      <c r="A29" s="10">
        <v>45731.0</v>
      </c>
      <c r="B29" s="11" t="s">
        <v>30</v>
      </c>
      <c r="C29" s="12" t="s">
        <v>31</v>
      </c>
      <c r="D29" s="13">
        <v>-50.0</v>
      </c>
      <c r="E29" s="11" t="s">
        <v>13</v>
      </c>
      <c r="F29" s="14" t="s">
        <v>14</v>
      </c>
      <c r="G29" s="9"/>
      <c r="H29" s="9"/>
      <c r="I29" s="9"/>
      <c r="J29" s="9"/>
      <c r="K29" s="9"/>
    </row>
    <row r="30" ht="22.5" customHeight="1">
      <c r="A30" s="10">
        <v>45732.0</v>
      </c>
      <c r="B30" s="11" t="s">
        <v>50</v>
      </c>
      <c r="C30" s="12" t="s">
        <v>51</v>
      </c>
      <c r="D30" s="13">
        <v>-100.0</v>
      </c>
      <c r="E30" s="11" t="s">
        <v>13</v>
      </c>
      <c r="F30" s="14" t="s">
        <v>14</v>
      </c>
      <c r="G30" s="9"/>
      <c r="H30" s="9"/>
      <c r="I30" s="9"/>
      <c r="J30" s="9"/>
      <c r="K30" s="9"/>
    </row>
    <row r="31" ht="22.5" customHeight="1">
      <c r="A31" s="10">
        <v>45732.0</v>
      </c>
      <c r="B31" s="11" t="s">
        <v>22</v>
      </c>
      <c r="C31" s="12" t="s">
        <v>52</v>
      </c>
      <c r="D31" s="13">
        <v>-20.0</v>
      </c>
      <c r="E31" s="11" t="s">
        <v>13</v>
      </c>
      <c r="F31" s="14" t="s">
        <v>14</v>
      </c>
      <c r="G31" s="9"/>
      <c r="H31" s="9"/>
      <c r="I31" s="9"/>
      <c r="J31" s="9"/>
      <c r="K31" s="9"/>
    </row>
    <row r="32" ht="22.5" customHeight="1">
      <c r="A32" s="10">
        <v>45732.0</v>
      </c>
      <c r="B32" s="11" t="s">
        <v>22</v>
      </c>
      <c r="C32" s="12" t="s">
        <v>24</v>
      </c>
      <c r="D32" s="13">
        <v>-88.0</v>
      </c>
      <c r="E32" s="11" t="s">
        <v>13</v>
      </c>
      <c r="F32" s="14" t="s">
        <v>14</v>
      </c>
      <c r="G32" s="9"/>
      <c r="H32" s="9"/>
      <c r="I32" s="9"/>
      <c r="J32" s="9"/>
      <c r="K32" s="9"/>
    </row>
    <row r="33" ht="22.5" customHeight="1">
      <c r="A33" s="10">
        <v>45732.0</v>
      </c>
      <c r="B33" s="11" t="s">
        <v>22</v>
      </c>
      <c r="C33" s="12" t="s">
        <v>53</v>
      </c>
      <c r="D33" s="13">
        <v>-61.0</v>
      </c>
      <c r="E33" s="11" t="s">
        <v>13</v>
      </c>
      <c r="F33" s="14" t="s">
        <v>14</v>
      </c>
      <c r="G33" s="9"/>
      <c r="H33" s="9"/>
      <c r="I33" s="9"/>
      <c r="J33" s="9"/>
      <c r="K33" s="9"/>
    </row>
    <row r="34" ht="22.5" customHeight="1">
      <c r="A34" s="10">
        <v>45732.0</v>
      </c>
      <c r="B34" s="11" t="s">
        <v>22</v>
      </c>
      <c r="C34" s="12" t="s">
        <v>54</v>
      </c>
      <c r="D34" s="13">
        <v>-61.0</v>
      </c>
      <c r="E34" s="11" t="s">
        <v>13</v>
      </c>
      <c r="F34" s="14" t="s">
        <v>14</v>
      </c>
      <c r="G34" s="9"/>
      <c r="H34" s="9"/>
      <c r="I34" s="9"/>
      <c r="J34" s="9"/>
      <c r="K34" s="9"/>
    </row>
    <row r="35" ht="22.5" customHeight="1">
      <c r="A35" s="10">
        <v>45733.0</v>
      </c>
      <c r="B35" s="11" t="s">
        <v>22</v>
      </c>
      <c r="C35" s="12" t="s">
        <v>23</v>
      </c>
      <c r="D35" s="13">
        <v>-75.0</v>
      </c>
      <c r="E35" s="11" t="s">
        <v>13</v>
      </c>
      <c r="F35" s="14" t="s">
        <v>14</v>
      </c>
      <c r="G35" s="9"/>
      <c r="H35" s="9"/>
      <c r="I35" s="9"/>
      <c r="J35" s="9"/>
      <c r="K35" s="9"/>
    </row>
    <row r="36" ht="22.5" customHeight="1">
      <c r="A36" s="10">
        <v>45735.0</v>
      </c>
      <c r="B36" s="11" t="s">
        <v>22</v>
      </c>
      <c r="C36" s="12" t="s">
        <v>55</v>
      </c>
      <c r="D36" s="13">
        <v>-150.0</v>
      </c>
      <c r="E36" s="11" t="s">
        <v>13</v>
      </c>
      <c r="F36" s="14" t="s">
        <v>14</v>
      </c>
      <c r="G36" s="9"/>
      <c r="H36" s="9"/>
      <c r="I36" s="9"/>
      <c r="J36" s="9"/>
      <c r="K36" s="9"/>
    </row>
    <row r="37" ht="22.5" customHeight="1">
      <c r="A37" s="10">
        <v>45735.0</v>
      </c>
      <c r="B37" s="11" t="s">
        <v>22</v>
      </c>
      <c r="C37" s="12" t="s">
        <v>56</v>
      </c>
      <c r="D37" s="13">
        <v>-174.0</v>
      </c>
      <c r="E37" s="11" t="s">
        <v>13</v>
      </c>
      <c r="F37" s="14" t="s">
        <v>14</v>
      </c>
      <c r="G37" s="9"/>
      <c r="H37" s="9"/>
      <c r="I37" s="9"/>
      <c r="J37" s="9"/>
      <c r="K37" s="9"/>
    </row>
    <row r="38" ht="22.5" customHeight="1">
      <c r="A38" s="10">
        <v>45735.0</v>
      </c>
      <c r="B38" s="11" t="s">
        <v>22</v>
      </c>
      <c r="C38" s="12" t="s">
        <v>23</v>
      </c>
      <c r="D38" s="13">
        <v>-110.0</v>
      </c>
      <c r="E38" s="11" t="s">
        <v>13</v>
      </c>
      <c r="F38" s="14" t="s">
        <v>14</v>
      </c>
      <c r="G38" s="9"/>
      <c r="H38" s="9"/>
      <c r="I38" s="9"/>
      <c r="J38" s="9"/>
      <c r="K38" s="9"/>
    </row>
    <row r="39" ht="22.5" customHeight="1">
      <c r="A39" s="10">
        <v>45736.0</v>
      </c>
      <c r="B39" s="11" t="s">
        <v>22</v>
      </c>
      <c r="C39" s="12" t="s">
        <v>27</v>
      </c>
      <c r="D39" s="13">
        <v>-532.0</v>
      </c>
      <c r="E39" s="11" t="s">
        <v>13</v>
      </c>
      <c r="F39" s="14" t="s">
        <v>14</v>
      </c>
      <c r="G39" s="9"/>
      <c r="H39" s="9"/>
      <c r="I39" s="9"/>
      <c r="J39" s="9"/>
      <c r="K39" s="9"/>
    </row>
    <row r="40" ht="22.5" customHeight="1">
      <c r="A40" s="10">
        <v>45738.0</v>
      </c>
      <c r="B40" s="11" t="s">
        <v>22</v>
      </c>
      <c r="C40" s="12" t="s">
        <v>57</v>
      </c>
      <c r="D40" s="13">
        <v>-150.0</v>
      </c>
      <c r="E40" s="11" t="s">
        <v>13</v>
      </c>
      <c r="F40" s="14" t="s">
        <v>14</v>
      </c>
      <c r="G40" s="9"/>
      <c r="H40" s="9"/>
      <c r="I40" s="9"/>
      <c r="J40" s="9"/>
      <c r="K40" s="9"/>
    </row>
    <row r="41" ht="22.5" customHeight="1">
      <c r="A41" s="10">
        <v>45739.0</v>
      </c>
      <c r="B41" s="11" t="s">
        <v>22</v>
      </c>
      <c r="C41" s="12" t="s">
        <v>24</v>
      </c>
      <c r="D41" s="13">
        <v>-860.0</v>
      </c>
      <c r="E41" s="11" t="s">
        <v>13</v>
      </c>
      <c r="F41" s="14" t="s">
        <v>14</v>
      </c>
      <c r="G41" s="9"/>
      <c r="H41" s="9"/>
      <c r="I41" s="9"/>
      <c r="J41" s="9"/>
      <c r="K41" s="9"/>
    </row>
    <row r="42" ht="22.5" customHeight="1">
      <c r="A42" s="10">
        <v>45744.0</v>
      </c>
      <c r="B42" s="11" t="s">
        <v>22</v>
      </c>
      <c r="C42" s="12" t="s">
        <v>23</v>
      </c>
      <c r="D42" s="13">
        <v>-105.0</v>
      </c>
      <c r="E42" s="11" t="s">
        <v>13</v>
      </c>
      <c r="F42" s="14" t="s">
        <v>14</v>
      </c>
      <c r="G42" s="9"/>
      <c r="H42" s="9"/>
      <c r="I42" s="9"/>
      <c r="J42" s="9"/>
      <c r="K42" s="9"/>
    </row>
    <row r="43" ht="22.5" customHeight="1">
      <c r="A43" s="10">
        <v>45745.0</v>
      </c>
      <c r="B43" s="11" t="s">
        <v>22</v>
      </c>
      <c r="C43" s="12" t="s">
        <v>29</v>
      </c>
      <c r="D43" s="13">
        <v>-2116.0</v>
      </c>
      <c r="E43" s="11" t="s">
        <v>13</v>
      </c>
      <c r="F43" s="14" t="s">
        <v>14</v>
      </c>
      <c r="G43" s="9"/>
      <c r="H43" s="9"/>
      <c r="I43" s="9"/>
      <c r="J43" s="9"/>
      <c r="K43" s="9"/>
    </row>
    <row r="44" ht="22.5" customHeight="1">
      <c r="A44" s="10">
        <v>45745.0</v>
      </c>
      <c r="B44" s="11" t="s">
        <v>22</v>
      </c>
      <c r="C44" s="12" t="s">
        <v>24</v>
      </c>
      <c r="D44" s="13">
        <v>-442.0</v>
      </c>
      <c r="E44" s="11" t="s">
        <v>13</v>
      </c>
      <c r="F44" s="14" t="s">
        <v>14</v>
      </c>
      <c r="G44" s="9"/>
      <c r="H44" s="9"/>
      <c r="I44" s="9"/>
      <c r="J44" s="9"/>
      <c r="K44" s="9"/>
    </row>
    <row r="45" ht="22.5" customHeight="1">
      <c r="A45" s="10">
        <v>45746.0</v>
      </c>
      <c r="B45" s="11" t="s">
        <v>58</v>
      </c>
      <c r="C45" s="12" t="s">
        <v>19</v>
      </c>
      <c r="D45" s="13">
        <v>-3014.0</v>
      </c>
      <c r="E45" s="11" t="s">
        <v>13</v>
      </c>
      <c r="F45" s="14" t="s">
        <v>14</v>
      </c>
      <c r="G45" s="9"/>
      <c r="H45" s="9"/>
      <c r="I45" s="9"/>
      <c r="J45" s="9"/>
      <c r="K45" s="9"/>
    </row>
    <row r="46" ht="22.5" customHeight="1">
      <c r="A46" s="15"/>
      <c r="B46" s="15"/>
      <c r="C46" s="15"/>
      <c r="D46" s="13">
        <f>sum(表_2[Amount])</f>
        <v>10944</v>
      </c>
      <c r="E46" s="15"/>
      <c r="F46" s="15"/>
      <c r="G46" s="9"/>
      <c r="H46" s="9"/>
      <c r="I46" s="9"/>
      <c r="J46" s="9"/>
      <c r="K46" s="9"/>
    </row>
  </sheetData>
  <dataValidations>
    <dataValidation type="list" allowBlank="1" sqref="B2:B45">
      <formula1>"Income,Trasportation,Accommdation,Others,Food,Entertainment "</formula1>
    </dataValidation>
    <dataValidation type="custom" allowBlank="1" showDropDown="1" sqref="A2:A45">
      <formula1>OR(NOT(ISERROR(DATEVALUE(A2))), AND(ISNUMBER(A2), LEFT(CELL("format", A2))="D"))</formula1>
    </dataValidation>
    <dataValidation type="custom" allowBlank="1" showDropDown="1" sqref="D2:D45">
      <formula1>AND(ISNUMBER(D2),(NOT(OR(NOT(ISERROR(DATEVALUE(D2))), AND(ISNUMBER(D2), LEFT(CELL("format", D2))="D")))))</formula1>
    </dataValidation>
    <dataValidation type="list" allowBlank="1" sqref="E2:E45">
      <formula1>"AUD,TWD"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</hyperlinks>
  <drawing r:id="rId45"/>
  <tableParts count="1">
    <tablePart r:id="rId4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7.5"/>
    <col customWidth="1" min="4" max="4" width="14.63"/>
    <col customWidth="1" min="5" max="5" width="15.38"/>
    <col customWidth="1" min="6" max="8" width="16.75"/>
    <col hidden="1" min="9" max="30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13</v>
      </c>
      <c r="G1" s="2" t="s">
        <v>5</v>
      </c>
      <c r="H1" s="2" t="s">
        <v>59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ht="22.5" customHeight="1">
      <c r="A2" s="4">
        <v>45748.0</v>
      </c>
      <c r="B2" s="5" t="s">
        <v>11</v>
      </c>
      <c r="C2" s="6" t="s">
        <v>12</v>
      </c>
      <c r="D2" s="7">
        <v>28000.0</v>
      </c>
      <c r="E2" s="5" t="s">
        <v>13</v>
      </c>
      <c r="F2" s="17">
        <f t="shared" ref="F2:F6" si="1">D2*1</f>
        <v>28000</v>
      </c>
      <c r="G2" s="8" t="s">
        <v>14</v>
      </c>
      <c r="H2" s="17"/>
      <c r="I2" s="9"/>
      <c r="J2" s="9"/>
      <c r="K2" s="9"/>
      <c r="L2" s="9"/>
      <c r="M2" s="9"/>
    </row>
    <row r="3" ht="22.5" customHeight="1">
      <c r="A3" s="4">
        <v>45748.0</v>
      </c>
      <c r="B3" s="5" t="s">
        <v>11</v>
      </c>
      <c r="C3" s="6" t="s">
        <v>15</v>
      </c>
      <c r="D3" s="7">
        <v>22000.0</v>
      </c>
      <c r="E3" s="5" t="s">
        <v>13</v>
      </c>
      <c r="F3" s="17">
        <f t="shared" si="1"/>
        <v>22000</v>
      </c>
      <c r="G3" s="8" t="s">
        <v>16</v>
      </c>
      <c r="H3" s="17"/>
      <c r="I3" s="9"/>
      <c r="J3" s="9"/>
      <c r="K3" s="9"/>
      <c r="L3" s="9"/>
      <c r="M3" s="9"/>
    </row>
    <row r="4" ht="22.5" customHeight="1">
      <c r="A4" s="4">
        <v>45748.0</v>
      </c>
      <c r="B4" s="5" t="s">
        <v>17</v>
      </c>
      <c r="C4" s="6" t="s">
        <v>18</v>
      </c>
      <c r="D4" s="7">
        <v>-12000.0</v>
      </c>
      <c r="E4" s="5" t="s">
        <v>13</v>
      </c>
      <c r="F4" s="17">
        <f t="shared" si="1"/>
        <v>-12000</v>
      </c>
      <c r="G4" s="8" t="s">
        <v>14</v>
      </c>
      <c r="H4" s="17"/>
      <c r="I4" s="9"/>
      <c r="J4" s="9"/>
      <c r="K4" s="9"/>
      <c r="L4" s="9"/>
      <c r="M4" s="9"/>
    </row>
    <row r="5" ht="22.5" customHeight="1">
      <c r="A5" s="4">
        <v>45748.0</v>
      </c>
      <c r="B5" s="5" t="s">
        <v>17</v>
      </c>
      <c r="C5" s="6" t="s">
        <v>20</v>
      </c>
      <c r="D5" s="7">
        <v>-660.0</v>
      </c>
      <c r="E5" s="5" t="s">
        <v>13</v>
      </c>
      <c r="F5" s="17">
        <f t="shared" si="1"/>
        <v>-660</v>
      </c>
      <c r="G5" s="8" t="s">
        <v>14</v>
      </c>
      <c r="H5" s="17"/>
      <c r="I5" s="9"/>
      <c r="J5" s="9"/>
      <c r="K5" s="9"/>
      <c r="L5" s="9"/>
      <c r="M5" s="9"/>
    </row>
    <row r="6" ht="22.5" customHeight="1">
      <c r="A6" s="4">
        <v>45748.0</v>
      </c>
      <c r="B6" s="5" t="s">
        <v>17</v>
      </c>
      <c r="C6" s="6" t="s">
        <v>21</v>
      </c>
      <c r="D6" s="7">
        <v>-390.0</v>
      </c>
      <c r="E6" s="5" t="s">
        <v>13</v>
      </c>
      <c r="F6" s="17">
        <f t="shared" si="1"/>
        <v>-390</v>
      </c>
      <c r="G6" s="8" t="s">
        <v>14</v>
      </c>
      <c r="H6" s="17"/>
      <c r="I6" s="9"/>
      <c r="J6" s="9"/>
      <c r="K6" s="9"/>
      <c r="L6" s="9"/>
      <c r="M6" s="9"/>
    </row>
    <row r="7" ht="22.5" customHeight="1">
      <c r="A7" s="4">
        <v>45749.0</v>
      </c>
      <c r="B7" s="5" t="s">
        <v>22</v>
      </c>
      <c r="C7" s="6" t="s">
        <v>60</v>
      </c>
      <c r="D7" s="7">
        <v>-9750.0</v>
      </c>
      <c r="E7" s="5" t="s">
        <v>61</v>
      </c>
      <c r="F7" s="17">
        <f t="shared" ref="F7:F18" si="2">D7*0.22</f>
        <v>-2145</v>
      </c>
      <c r="G7" s="8" t="s">
        <v>14</v>
      </c>
      <c r="H7" s="8" t="s">
        <v>62</v>
      </c>
      <c r="I7" s="9"/>
      <c r="J7" s="9"/>
      <c r="K7" s="9"/>
      <c r="L7" s="9"/>
      <c r="M7" s="9"/>
    </row>
    <row r="8" ht="22.5" customHeight="1">
      <c r="A8" s="4">
        <v>45749.0</v>
      </c>
      <c r="B8" s="5" t="s">
        <v>22</v>
      </c>
      <c r="C8" s="6" t="s">
        <v>63</v>
      </c>
      <c r="D8" s="7">
        <v>-1590.0</v>
      </c>
      <c r="E8" s="5" t="s">
        <v>61</v>
      </c>
      <c r="F8" s="17">
        <f t="shared" si="2"/>
        <v>-349.8</v>
      </c>
      <c r="G8" s="8" t="s">
        <v>14</v>
      </c>
      <c r="H8" s="8" t="s">
        <v>62</v>
      </c>
      <c r="I8" s="9"/>
      <c r="J8" s="9"/>
      <c r="K8" s="9"/>
      <c r="L8" s="9"/>
      <c r="M8" s="9"/>
    </row>
    <row r="9" ht="22.5" customHeight="1">
      <c r="A9" s="4">
        <v>45750.0</v>
      </c>
      <c r="B9" s="5" t="s">
        <v>17</v>
      </c>
      <c r="C9" s="6" t="s">
        <v>64</v>
      </c>
      <c r="D9" s="7">
        <v>-2090.0</v>
      </c>
      <c r="E9" s="5" t="s">
        <v>61</v>
      </c>
      <c r="F9" s="17">
        <f t="shared" si="2"/>
        <v>-459.8</v>
      </c>
      <c r="G9" s="8" t="s">
        <v>14</v>
      </c>
      <c r="H9" s="8" t="s">
        <v>62</v>
      </c>
      <c r="I9" s="9"/>
      <c r="J9" s="9"/>
      <c r="K9" s="9"/>
      <c r="L9" s="9"/>
      <c r="M9" s="9"/>
    </row>
    <row r="10" ht="22.5" customHeight="1">
      <c r="A10" s="4">
        <v>45750.0</v>
      </c>
      <c r="B10" s="5" t="s">
        <v>22</v>
      </c>
      <c r="C10" s="6" t="s">
        <v>63</v>
      </c>
      <c r="D10" s="7">
        <v>-2678.0</v>
      </c>
      <c r="E10" s="5" t="s">
        <v>61</v>
      </c>
      <c r="F10" s="17">
        <f t="shared" si="2"/>
        <v>-589.16</v>
      </c>
      <c r="G10" s="8" t="s">
        <v>14</v>
      </c>
      <c r="H10" s="8" t="s">
        <v>62</v>
      </c>
      <c r="I10" s="9"/>
      <c r="J10" s="9"/>
      <c r="K10" s="9"/>
      <c r="L10" s="9"/>
      <c r="M10" s="9"/>
    </row>
    <row r="11" ht="22.5" customHeight="1">
      <c r="A11" s="4">
        <v>45750.0</v>
      </c>
      <c r="B11" s="5" t="s">
        <v>17</v>
      </c>
      <c r="C11" s="6" t="s">
        <v>65</v>
      </c>
      <c r="D11" s="7">
        <v>-20000.0</v>
      </c>
      <c r="E11" s="5" t="s">
        <v>61</v>
      </c>
      <c r="F11" s="17">
        <f t="shared" si="2"/>
        <v>-4400</v>
      </c>
      <c r="G11" s="8" t="s">
        <v>14</v>
      </c>
      <c r="H11" s="8" t="s">
        <v>62</v>
      </c>
      <c r="I11" s="9"/>
      <c r="J11" s="9"/>
      <c r="K11" s="9"/>
      <c r="L11" s="9"/>
      <c r="M11" s="9"/>
    </row>
    <row r="12" ht="22.5" customHeight="1">
      <c r="A12" s="4">
        <v>45750.0</v>
      </c>
      <c r="B12" s="5" t="s">
        <v>22</v>
      </c>
      <c r="C12" s="6" t="s">
        <v>66</v>
      </c>
      <c r="D12" s="7">
        <v>-2250.0</v>
      </c>
      <c r="E12" s="5" t="s">
        <v>61</v>
      </c>
      <c r="F12" s="17">
        <f t="shared" si="2"/>
        <v>-495</v>
      </c>
      <c r="G12" s="8" t="s">
        <v>14</v>
      </c>
      <c r="H12" s="8" t="s">
        <v>62</v>
      </c>
      <c r="I12" s="9"/>
      <c r="J12" s="9"/>
      <c r="K12" s="9"/>
      <c r="L12" s="9"/>
      <c r="M12" s="9"/>
    </row>
    <row r="13" ht="22.5" customHeight="1">
      <c r="A13" s="4">
        <v>45751.0</v>
      </c>
      <c r="B13" s="5" t="s">
        <v>58</v>
      </c>
      <c r="C13" s="6" t="s">
        <v>67</v>
      </c>
      <c r="D13" s="7">
        <v>-27300.0</v>
      </c>
      <c r="E13" s="5" t="s">
        <v>61</v>
      </c>
      <c r="F13" s="17">
        <f t="shared" si="2"/>
        <v>-6006</v>
      </c>
      <c r="G13" s="8" t="s">
        <v>14</v>
      </c>
      <c r="H13" s="8" t="s">
        <v>62</v>
      </c>
      <c r="I13" s="9"/>
      <c r="J13" s="9"/>
      <c r="K13" s="9"/>
      <c r="L13" s="9"/>
      <c r="M13" s="9"/>
    </row>
    <row r="14" ht="22.5" customHeight="1">
      <c r="A14" s="4">
        <v>45751.0</v>
      </c>
      <c r="B14" s="5" t="s">
        <v>30</v>
      </c>
      <c r="C14" s="6" t="s">
        <v>68</v>
      </c>
      <c r="D14" s="7">
        <v>-41600.0</v>
      </c>
      <c r="E14" s="5" t="s">
        <v>61</v>
      </c>
      <c r="F14" s="17">
        <f t="shared" si="2"/>
        <v>-9152</v>
      </c>
      <c r="G14" s="8" t="s">
        <v>14</v>
      </c>
      <c r="H14" s="8" t="s">
        <v>62</v>
      </c>
      <c r="I14" s="9"/>
      <c r="J14" s="9"/>
      <c r="K14" s="9"/>
      <c r="L14" s="9"/>
      <c r="M14" s="9"/>
    </row>
    <row r="15" ht="22.5" customHeight="1">
      <c r="A15" s="4">
        <v>45751.0</v>
      </c>
      <c r="B15" s="5" t="s">
        <v>22</v>
      </c>
      <c r="C15" s="6" t="s">
        <v>63</v>
      </c>
      <c r="D15" s="7">
        <v>-12799.0</v>
      </c>
      <c r="E15" s="5" t="s">
        <v>61</v>
      </c>
      <c r="F15" s="17">
        <f t="shared" si="2"/>
        <v>-2815.78</v>
      </c>
      <c r="G15" s="8" t="s">
        <v>14</v>
      </c>
      <c r="H15" s="8" t="s">
        <v>62</v>
      </c>
      <c r="I15" s="9"/>
      <c r="J15" s="9"/>
      <c r="K15" s="9"/>
      <c r="L15" s="9"/>
      <c r="M15" s="9"/>
    </row>
    <row r="16" ht="22.5" customHeight="1">
      <c r="A16" s="4">
        <v>45751.0</v>
      </c>
      <c r="B16" s="5" t="s">
        <v>22</v>
      </c>
      <c r="C16" s="6" t="s">
        <v>69</v>
      </c>
      <c r="D16" s="7">
        <v>-324.0</v>
      </c>
      <c r="E16" s="5" t="s">
        <v>61</v>
      </c>
      <c r="F16" s="17">
        <f t="shared" si="2"/>
        <v>-71.28</v>
      </c>
      <c r="G16" s="8" t="s">
        <v>14</v>
      </c>
      <c r="H16" s="8" t="s">
        <v>62</v>
      </c>
      <c r="I16" s="9"/>
      <c r="J16" s="9"/>
      <c r="K16" s="9"/>
      <c r="L16" s="9"/>
      <c r="M16" s="9"/>
    </row>
    <row r="17" ht="22.5" customHeight="1">
      <c r="A17" s="4">
        <v>45751.0</v>
      </c>
      <c r="B17" s="5" t="s">
        <v>17</v>
      </c>
      <c r="C17" s="6" t="s">
        <v>69</v>
      </c>
      <c r="D17" s="7">
        <v>-1100.0</v>
      </c>
      <c r="E17" s="5" t="s">
        <v>61</v>
      </c>
      <c r="F17" s="17">
        <f t="shared" si="2"/>
        <v>-242</v>
      </c>
      <c r="G17" s="8" t="s">
        <v>14</v>
      </c>
      <c r="H17" s="8" t="s">
        <v>62</v>
      </c>
      <c r="I17" s="9"/>
      <c r="J17" s="9"/>
      <c r="K17" s="9"/>
      <c r="L17" s="9"/>
      <c r="M17" s="9"/>
    </row>
    <row r="18" ht="22.5" customHeight="1">
      <c r="A18" s="4">
        <v>45751.0</v>
      </c>
      <c r="B18" s="5" t="s">
        <v>30</v>
      </c>
      <c r="C18" s="6" t="s">
        <v>70</v>
      </c>
      <c r="D18" s="7">
        <v>-720.0</v>
      </c>
      <c r="E18" s="5" t="s">
        <v>61</v>
      </c>
      <c r="F18" s="17">
        <f t="shared" si="2"/>
        <v>-158.4</v>
      </c>
      <c r="G18" s="8" t="s">
        <v>14</v>
      </c>
      <c r="H18" s="8" t="s">
        <v>62</v>
      </c>
      <c r="I18" s="9"/>
      <c r="J18" s="9"/>
      <c r="K18" s="9"/>
      <c r="L18" s="9"/>
      <c r="M18" s="9"/>
    </row>
    <row r="19" ht="22.5" customHeight="1">
      <c r="A19" s="4">
        <v>45751.0</v>
      </c>
      <c r="B19" s="5" t="s">
        <v>58</v>
      </c>
      <c r="C19" s="6" t="s">
        <v>71</v>
      </c>
      <c r="D19" s="7">
        <v>-29777.0</v>
      </c>
      <c r="E19" s="5" t="s">
        <v>13</v>
      </c>
      <c r="F19" s="17">
        <f>D19</f>
        <v>-29777</v>
      </c>
      <c r="G19" s="8" t="s">
        <v>14</v>
      </c>
      <c r="H19" s="8" t="s">
        <v>62</v>
      </c>
      <c r="I19" s="9"/>
      <c r="J19" s="9"/>
      <c r="K19" s="9"/>
      <c r="L19" s="9"/>
      <c r="M19" s="9"/>
    </row>
    <row r="20" ht="22.5" customHeight="1">
      <c r="A20" s="4">
        <v>45751.0</v>
      </c>
      <c r="B20" s="5" t="s">
        <v>22</v>
      </c>
      <c r="C20" s="6" t="s">
        <v>72</v>
      </c>
      <c r="D20" s="7">
        <v>-801.0</v>
      </c>
      <c r="E20" s="5" t="s">
        <v>61</v>
      </c>
      <c r="F20" s="17">
        <f t="shared" ref="F20:F45" si="3">D20*0.22</f>
        <v>-176.22</v>
      </c>
      <c r="G20" s="8" t="s">
        <v>14</v>
      </c>
      <c r="H20" s="8" t="s">
        <v>62</v>
      </c>
      <c r="I20" s="9"/>
      <c r="J20" s="9"/>
      <c r="K20" s="9"/>
      <c r="L20" s="9"/>
      <c r="M20" s="9"/>
    </row>
    <row r="21" ht="22.5" customHeight="1">
      <c r="A21" s="4">
        <v>45751.0</v>
      </c>
      <c r="B21" s="5" t="s">
        <v>22</v>
      </c>
      <c r="C21" s="6" t="s">
        <v>40</v>
      </c>
      <c r="D21" s="7">
        <v>-2816.0</v>
      </c>
      <c r="E21" s="5" t="s">
        <v>61</v>
      </c>
      <c r="F21" s="17">
        <f t="shared" si="3"/>
        <v>-619.52</v>
      </c>
      <c r="G21" s="8" t="s">
        <v>14</v>
      </c>
      <c r="H21" s="8" t="s">
        <v>62</v>
      </c>
      <c r="I21" s="9"/>
      <c r="J21" s="9"/>
      <c r="K21" s="9"/>
      <c r="L21" s="9"/>
      <c r="M21" s="9"/>
    </row>
    <row r="22" ht="22.5" customHeight="1">
      <c r="A22" s="4">
        <v>45751.0</v>
      </c>
      <c r="B22" s="5" t="s">
        <v>22</v>
      </c>
      <c r="C22" s="6" t="s">
        <v>73</v>
      </c>
      <c r="D22" s="7">
        <v>-1235.0</v>
      </c>
      <c r="E22" s="5" t="s">
        <v>61</v>
      </c>
      <c r="F22" s="17">
        <f t="shared" si="3"/>
        <v>-271.7</v>
      </c>
      <c r="G22" s="8" t="s">
        <v>14</v>
      </c>
      <c r="H22" s="8" t="s">
        <v>62</v>
      </c>
      <c r="I22" s="9"/>
      <c r="J22" s="9"/>
      <c r="K22" s="9"/>
      <c r="L22" s="9"/>
      <c r="M22" s="9"/>
    </row>
    <row r="23" ht="22.5" customHeight="1">
      <c r="A23" s="4">
        <v>45752.0</v>
      </c>
      <c r="B23" s="5" t="s">
        <v>22</v>
      </c>
      <c r="C23" s="6" t="s">
        <v>40</v>
      </c>
      <c r="D23" s="7">
        <v>-2940.0</v>
      </c>
      <c r="E23" s="5" t="s">
        <v>61</v>
      </c>
      <c r="F23" s="17">
        <f t="shared" si="3"/>
        <v>-646.8</v>
      </c>
      <c r="G23" s="8" t="s">
        <v>14</v>
      </c>
      <c r="H23" s="8" t="s">
        <v>62</v>
      </c>
      <c r="I23" s="9"/>
      <c r="J23" s="9"/>
      <c r="K23" s="9"/>
      <c r="L23" s="9"/>
      <c r="M23" s="9"/>
    </row>
    <row r="24" ht="22.5" customHeight="1">
      <c r="A24" s="4">
        <v>45752.0</v>
      </c>
      <c r="B24" s="5" t="s">
        <v>30</v>
      </c>
      <c r="C24" s="6" t="s">
        <v>70</v>
      </c>
      <c r="D24" s="7">
        <v>-1070.0</v>
      </c>
      <c r="E24" s="5" t="s">
        <v>61</v>
      </c>
      <c r="F24" s="17">
        <f t="shared" si="3"/>
        <v>-235.4</v>
      </c>
      <c r="G24" s="8" t="s">
        <v>14</v>
      </c>
      <c r="H24" s="8" t="s">
        <v>62</v>
      </c>
      <c r="I24" s="9"/>
      <c r="J24" s="9"/>
      <c r="K24" s="9"/>
      <c r="L24" s="9"/>
      <c r="M24" s="9"/>
    </row>
    <row r="25" ht="22.5" customHeight="1">
      <c r="A25" s="4">
        <v>45752.0</v>
      </c>
      <c r="B25" s="5" t="s">
        <v>30</v>
      </c>
      <c r="C25" s="6" t="s">
        <v>70</v>
      </c>
      <c r="D25" s="7">
        <v>-1070.0</v>
      </c>
      <c r="E25" s="5" t="s">
        <v>61</v>
      </c>
      <c r="F25" s="17">
        <f t="shared" si="3"/>
        <v>-235.4</v>
      </c>
      <c r="G25" s="8" t="s">
        <v>14</v>
      </c>
      <c r="H25" s="8" t="s">
        <v>62</v>
      </c>
      <c r="I25" s="9"/>
      <c r="J25" s="9"/>
      <c r="K25" s="9"/>
      <c r="L25" s="9"/>
      <c r="M25" s="9"/>
    </row>
    <row r="26" ht="22.5" customHeight="1">
      <c r="A26" s="4">
        <v>45752.0</v>
      </c>
      <c r="B26" s="5" t="s">
        <v>22</v>
      </c>
      <c r="C26" s="6" t="s">
        <v>74</v>
      </c>
      <c r="D26" s="7">
        <v>-2686.0</v>
      </c>
      <c r="E26" s="5" t="s">
        <v>61</v>
      </c>
      <c r="F26" s="17">
        <f t="shared" si="3"/>
        <v>-590.92</v>
      </c>
      <c r="G26" s="8" t="s">
        <v>14</v>
      </c>
      <c r="H26" s="8" t="s">
        <v>62</v>
      </c>
      <c r="I26" s="9"/>
      <c r="J26" s="9"/>
      <c r="K26" s="9"/>
      <c r="L26" s="9"/>
      <c r="M26" s="9"/>
    </row>
    <row r="27" ht="22.5" customHeight="1">
      <c r="A27" s="18">
        <v>45753.0</v>
      </c>
      <c r="B27" s="5" t="s">
        <v>22</v>
      </c>
      <c r="C27" s="19" t="s">
        <v>75</v>
      </c>
      <c r="D27" s="20">
        <v>-2297.0</v>
      </c>
      <c r="E27" s="5" t="s">
        <v>61</v>
      </c>
      <c r="F27" s="17">
        <f t="shared" si="3"/>
        <v>-505.34</v>
      </c>
      <c r="G27" s="8" t="s">
        <v>14</v>
      </c>
      <c r="H27" s="8" t="s">
        <v>62</v>
      </c>
      <c r="I27" s="9"/>
      <c r="J27" s="9"/>
      <c r="K27" s="9"/>
      <c r="L27" s="9"/>
      <c r="M27" s="9"/>
    </row>
    <row r="28" ht="22.5" customHeight="1">
      <c r="A28" s="18">
        <v>45753.0</v>
      </c>
      <c r="B28" s="5" t="s">
        <v>22</v>
      </c>
      <c r="C28" s="19" t="s">
        <v>76</v>
      </c>
      <c r="D28" s="20">
        <v>-551.0</v>
      </c>
      <c r="E28" s="5" t="s">
        <v>61</v>
      </c>
      <c r="F28" s="17">
        <f t="shared" si="3"/>
        <v>-121.22</v>
      </c>
      <c r="G28" s="17"/>
      <c r="H28" s="8" t="s">
        <v>62</v>
      </c>
      <c r="I28" s="9"/>
      <c r="J28" s="9"/>
      <c r="K28" s="9"/>
      <c r="L28" s="9"/>
      <c r="M28" s="9"/>
    </row>
    <row r="29" ht="22.5" customHeight="1">
      <c r="A29" s="18">
        <v>45753.0</v>
      </c>
      <c r="B29" s="5" t="s">
        <v>22</v>
      </c>
      <c r="C29" s="19" t="s">
        <v>77</v>
      </c>
      <c r="D29" s="20">
        <v>-1068.0</v>
      </c>
      <c r="E29" s="5" t="s">
        <v>61</v>
      </c>
      <c r="F29" s="17">
        <f t="shared" si="3"/>
        <v>-234.96</v>
      </c>
      <c r="G29" s="8" t="s">
        <v>14</v>
      </c>
      <c r="H29" s="8" t="s">
        <v>62</v>
      </c>
      <c r="I29" s="9"/>
      <c r="J29" s="9"/>
      <c r="K29" s="9"/>
      <c r="L29" s="9"/>
      <c r="M29" s="9"/>
    </row>
    <row r="30" ht="22.5" customHeight="1">
      <c r="A30" s="18">
        <v>45754.0</v>
      </c>
      <c r="B30" s="5" t="s">
        <v>30</v>
      </c>
      <c r="C30" s="19" t="s">
        <v>78</v>
      </c>
      <c r="D30" s="20">
        <v>-900.0</v>
      </c>
      <c r="E30" s="5" t="s">
        <v>61</v>
      </c>
      <c r="F30" s="17">
        <f t="shared" si="3"/>
        <v>-198</v>
      </c>
      <c r="G30" s="8" t="s">
        <v>14</v>
      </c>
      <c r="H30" s="8" t="s">
        <v>62</v>
      </c>
      <c r="I30" s="9"/>
      <c r="J30" s="9"/>
      <c r="K30" s="9"/>
      <c r="L30" s="9"/>
      <c r="M30" s="9"/>
    </row>
    <row r="31" ht="22.5" customHeight="1">
      <c r="A31" s="18">
        <v>45754.0</v>
      </c>
      <c r="B31" s="5" t="s">
        <v>22</v>
      </c>
      <c r="C31" s="19" t="s">
        <v>79</v>
      </c>
      <c r="D31" s="20">
        <v>-2370.0</v>
      </c>
      <c r="E31" s="5" t="s">
        <v>61</v>
      </c>
      <c r="F31" s="17">
        <f t="shared" si="3"/>
        <v>-521.4</v>
      </c>
      <c r="G31" s="8" t="s">
        <v>14</v>
      </c>
      <c r="H31" s="8" t="s">
        <v>62</v>
      </c>
      <c r="I31" s="9"/>
      <c r="J31" s="9"/>
      <c r="K31" s="9"/>
      <c r="L31" s="9"/>
      <c r="M31" s="9"/>
    </row>
    <row r="32" ht="22.5" customHeight="1">
      <c r="A32" s="18">
        <v>45754.0</v>
      </c>
      <c r="B32" s="5" t="s">
        <v>30</v>
      </c>
      <c r="C32" s="19" t="s">
        <v>80</v>
      </c>
      <c r="D32" s="20">
        <v>-900.0</v>
      </c>
      <c r="E32" s="5" t="s">
        <v>61</v>
      </c>
      <c r="F32" s="17">
        <f t="shared" si="3"/>
        <v>-198</v>
      </c>
      <c r="G32" s="8" t="s">
        <v>14</v>
      </c>
      <c r="H32" s="8" t="s">
        <v>62</v>
      </c>
      <c r="I32" s="9"/>
      <c r="J32" s="9"/>
      <c r="K32" s="9"/>
      <c r="L32" s="9"/>
      <c r="M32" s="9"/>
    </row>
    <row r="33" ht="22.5" customHeight="1">
      <c r="A33" s="18">
        <v>45755.0</v>
      </c>
      <c r="B33" s="5" t="s">
        <v>22</v>
      </c>
      <c r="C33" s="19" t="s">
        <v>81</v>
      </c>
      <c r="D33" s="20">
        <v>-272.0</v>
      </c>
      <c r="E33" s="5" t="s">
        <v>61</v>
      </c>
      <c r="F33" s="17">
        <f t="shared" si="3"/>
        <v>-59.84</v>
      </c>
      <c r="G33" s="8" t="s">
        <v>14</v>
      </c>
      <c r="H33" s="8" t="s">
        <v>82</v>
      </c>
      <c r="I33" s="9"/>
      <c r="J33" s="9"/>
      <c r="K33" s="9"/>
      <c r="L33" s="9"/>
      <c r="M33" s="9"/>
    </row>
    <row r="34" ht="22.5" customHeight="1">
      <c r="A34" s="18">
        <v>45755.0</v>
      </c>
      <c r="B34" s="5" t="s">
        <v>17</v>
      </c>
      <c r="C34" s="19" t="s">
        <v>83</v>
      </c>
      <c r="D34" s="20">
        <v>-550.0</v>
      </c>
      <c r="E34" s="5" t="s">
        <v>61</v>
      </c>
      <c r="F34" s="17">
        <f t="shared" si="3"/>
        <v>-121</v>
      </c>
      <c r="G34" s="8" t="s">
        <v>14</v>
      </c>
      <c r="H34" s="8" t="s">
        <v>82</v>
      </c>
      <c r="I34" s="9"/>
      <c r="J34" s="9"/>
      <c r="K34" s="9"/>
      <c r="L34" s="9"/>
      <c r="M34" s="9"/>
    </row>
    <row r="35" ht="22.5" customHeight="1">
      <c r="A35" s="18">
        <v>45755.0</v>
      </c>
      <c r="B35" s="5" t="s">
        <v>17</v>
      </c>
      <c r="C35" s="19" t="s">
        <v>84</v>
      </c>
      <c r="D35" s="20">
        <v>-550.0</v>
      </c>
      <c r="E35" s="5" t="s">
        <v>61</v>
      </c>
      <c r="F35" s="17">
        <f t="shared" si="3"/>
        <v>-121</v>
      </c>
      <c r="G35" s="8" t="s">
        <v>14</v>
      </c>
      <c r="H35" s="8" t="s">
        <v>82</v>
      </c>
      <c r="I35" s="9"/>
      <c r="J35" s="9"/>
      <c r="K35" s="9"/>
      <c r="L35" s="9"/>
      <c r="M35" s="9"/>
    </row>
    <row r="36" ht="22.5" customHeight="1">
      <c r="A36" s="18">
        <v>45755.0</v>
      </c>
      <c r="B36" s="5" t="s">
        <v>22</v>
      </c>
      <c r="C36" s="19" t="s">
        <v>85</v>
      </c>
      <c r="D36" s="20">
        <v>-376.0</v>
      </c>
      <c r="E36" s="5" t="s">
        <v>61</v>
      </c>
      <c r="F36" s="17">
        <f t="shared" si="3"/>
        <v>-82.72</v>
      </c>
      <c r="G36" s="8" t="s">
        <v>14</v>
      </c>
      <c r="H36" s="8" t="s">
        <v>82</v>
      </c>
      <c r="I36" s="9"/>
      <c r="J36" s="9"/>
      <c r="K36" s="9"/>
      <c r="L36" s="9"/>
      <c r="M36" s="9"/>
    </row>
    <row r="37" ht="22.5" customHeight="1">
      <c r="A37" s="18">
        <v>45755.0</v>
      </c>
      <c r="B37" s="5" t="s">
        <v>30</v>
      </c>
      <c r="C37" s="19" t="s">
        <v>86</v>
      </c>
      <c r="D37" s="20">
        <v>-3589.0</v>
      </c>
      <c r="E37" s="5" t="s">
        <v>61</v>
      </c>
      <c r="F37" s="17">
        <f t="shared" si="3"/>
        <v>-789.58</v>
      </c>
      <c r="G37" s="8" t="s">
        <v>14</v>
      </c>
      <c r="H37" s="8" t="s">
        <v>82</v>
      </c>
      <c r="I37" s="9"/>
      <c r="J37" s="9"/>
      <c r="K37" s="9"/>
      <c r="L37" s="9"/>
      <c r="M37" s="9"/>
    </row>
    <row r="38" ht="22.5" customHeight="1">
      <c r="A38" s="18">
        <v>45755.0</v>
      </c>
      <c r="B38" s="5" t="s">
        <v>22</v>
      </c>
      <c r="C38" s="19" t="s">
        <v>87</v>
      </c>
      <c r="D38" s="20">
        <v>-820.0</v>
      </c>
      <c r="E38" s="5" t="s">
        <v>61</v>
      </c>
      <c r="F38" s="17">
        <f t="shared" si="3"/>
        <v>-180.4</v>
      </c>
      <c r="G38" s="8" t="s">
        <v>14</v>
      </c>
      <c r="H38" s="8" t="s">
        <v>82</v>
      </c>
      <c r="I38" s="9"/>
      <c r="J38" s="9"/>
      <c r="K38" s="9"/>
      <c r="L38" s="9"/>
      <c r="M38" s="9"/>
    </row>
    <row r="39" ht="22.5" customHeight="1">
      <c r="A39" s="18">
        <v>45755.0</v>
      </c>
      <c r="B39" s="5" t="s">
        <v>58</v>
      </c>
      <c r="C39" s="19" t="s">
        <v>88</v>
      </c>
      <c r="D39" s="20">
        <v>-11600.0</v>
      </c>
      <c r="E39" s="5" t="s">
        <v>61</v>
      </c>
      <c r="F39" s="17">
        <f t="shared" si="3"/>
        <v>-2552</v>
      </c>
      <c r="G39" s="8" t="s">
        <v>14</v>
      </c>
      <c r="H39" s="8" t="s">
        <v>82</v>
      </c>
      <c r="I39" s="9"/>
      <c r="J39" s="9"/>
      <c r="K39" s="9"/>
      <c r="L39" s="9"/>
      <c r="M39" s="9"/>
    </row>
    <row r="40" ht="22.5" customHeight="1">
      <c r="A40" s="18">
        <v>45756.0</v>
      </c>
      <c r="B40" s="5" t="s">
        <v>22</v>
      </c>
      <c r="C40" s="19" t="s">
        <v>89</v>
      </c>
      <c r="D40" s="20">
        <v>-269.0</v>
      </c>
      <c r="E40" s="5" t="s">
        <v>61</v>
      </c>
      <c r="F40" s="17">
        <f t="shared" si="3"/>
        <v>-59.18</v>
      </c>
      <c r="G40" s="8" t="s">
        <v>14</v>
      </c>
      <c r="H40" s="8" t="s">
        <v>82</v>
      </c>
      <c r="I40" s="9"/>
      <c r="J40" s="9"/>
      <c r="K40" s="9"/>
      <c r="L40" s="9"/>
      <c r="M40" s="9"/>
    </row>
    <row r="41" ht="22.5" customHeight="1">
      <c r="A41" s="18">
        <v>45756.0</v>
      </c>
      <c r="B41" s="5" t="s">
        <v>22</v>
      </c>
      <c r="C41" s="19" t="s">
        <v>90</v>
      </c>
      <c r="D41" s="20">
        <v>-2900.0</v>
      </c>
      <c r="E41" s="5" t="s">
        <v>61</v>
      </c>
      <c r="F41" s="17">
        <f t="shared" si="3"/>
        <v>-638</v>
      </c>
      <c r="G41" s="8" t="s">
        <v>14</v>
      </c>
      <c r="H41" s="8" t="s">
        <v>82</v>
      </c>
      <c r="I41" s="9"/>
      <c r="J41" s="9"/>
      <c r="K41" s="9"/>
      <c r="L41" s="9"/>
      <c r="M41" s="9"/>
    </row>
    <row r="42" ht="22.5" customHeight="1">
      <c r="A42" s="18">
        <v>45756.0</v>
      </c>
      <c r="B42" s="5" t="s">
        <v>17</v>
      </c>
      <c r="C42" s="19" t="s">
        <v>91</v>
      </c>
      <c r="D42" s="20">
        <v>-17500.0</v>
      </c>
      <c r="E42" s="5" t="s">
        <v>61</v>
      </c>
      <c r="F42" s="17">
        <f t="shared" si="3"/>
        <v>-3850</v>
      </c>
      <c r="G42" s="8" t="s">
        <v>14</v>
      </c>
      <c r="H42" s="8" t="s">
        <v>82</v>
      </c>
      <c r="I42" s="9"/>
      <c r="J42" s="9"/>
      <c r="K42" s="9"/>
      <c r="L42" s="9"/>
      <c r="M42" s="9"/>
    </row>
    <row r="43" ht="22.5" customHeight="1">
      <c r="A43" s="18">
        <v>45756.0</v>
      </c>
      <c r="B43" s="5" t="s">
        <v>22</v>
      </c>
      <c r="C43" s="19" t="s">
        <v>92</v>
      </c>
      <c r="D43" s="20">
        <v>-200.0</v>
      </c>
      <c r="E43" s="5" t="s">
        <v>61</v>
      </c>
      <c r="F43" s="17">
        <f t="shared" si="3"/>
        <v>-44</v>
      </c>
      <c r="G43" s="8" t="s">
        <v>14</v>
      </c>
      <c r="H43" s="8" t="s">
        <v>82</v>
      </c>
      <c r="I43" s="9"/>
      <c r="J43" s="9"/>
      <c r="K43" s="9"/>
      <c r="L43" s="9"/>
      <c r="M43" s="9"/>
    </row>
    <row r="44" ht="22.5" customHeight="1">
      <c r="A44" s="18">
        <v>45756.0</v>
      </c>
      <c r="B44" s="5" t="s">
        <v>22</v>
      </c>
      <c r="C44" s="19" t="s">
        <v>93</v>
      </c>
      <c r="D44" s="20">
        <v>-2800.0</v>
      </c>
      <c r="E44" s="5" t="s">
        <v>61</v>
      </c>
      <c r="F44" s="17">
        <f t="shared" si="3"/>
        <v>-616</v>
      </c>
      <c r="G44" s="8" t="s">
        <v>14</v>
      </c>
      <c r="H44" s="8" t="s">
        <v>82</v>
      </c>
      <c r="I44" s="9"/>
      <c r="J44" s="9"/>
      <c r="K44" s="9"/>
      <c r="L44" s="9"/>
      <c r="M44" s="9"/>
    </row>
    <row r="45" ht="22.5" customHeight="1">
      <c r="A45" s="18">
        <v>45756.0</v>
      </c>
      <c r="B45" s="5" t="s">
        <v>22</v>
      </c>
      <c r="C45" s="19" t="s">
        <v>94</v>
      </c>
      <c r="D45" s="20">
        <v>-1645.0</v>
      </c>
      <c r="E45" s="5" t="s">
        <v>61</v>
      </c>
      <c r="F45" s="17">
        <f t="shared" si="3"/>
        <v>-361.9</v>
      </c>
      <c r="G45" s="8" t="s">
        <v>14</v>
      </c>
      <c r="H45" s="8" t="s">
        <v>82</v>
      </c>
      <c r="I45" s="9"/>
      <c r="J45" s="9"/>
      <c r="K45" s="9"/>
      <c r="L45" s="9"/>
      <c r="M45" s="9"/>
    </row>
    <row r="46" ht="22.5" customHeight="1">
      <c r="A46" s="4">
        <v>45757.0</v>
      </c>
      <c r="B46" s="5" t="s">
        <v>22</v>
      </c>
      <c r="C46" s="6" t="s">
        <v>29</v>
      </c>
      <c r="D46" s="7">
        <v>-149.0</v>
      </c>
      <c r="E46" s="5" t="s">
        <v>13</v>
      </c>
      <c r="F46" s="21">
        <f t="shared" ref="F46:F77" si="4">D46</f>
        <v>-149</v>
      </c>
      <c r="G46" s="22" t="s">
        <v>14</v>
      </c>
      <c r="H46" s="8" t="s">
        <v>95</v>
      </c>
      <c r="I46" s="9"/>
      <c r="J46" s="9"/>
      <c r="K46" s="9"/>
      <c r="L46" s="9"/>
      <c r="M46" s="9"/>
    </row>
    <row r="47" ht="22.5" customHeight="1">
      <c r="A47" s="4">
        <v>45757.0</v>
      </c>
      <c r="B47" s="5" t="s">
        <v>22</v>
      </c>
      <c r="C47" s="6" t="s">
        <v>29</v>
      </c>
      <c r="D47" s="7">
        <v>-3794.0</v>
      </c>
      <c r="E47" s="5" t="s">
        <v>13</v>
      </c>
      <c r="F47" s="21">
        <f t="shared" si="4"/>
        <v>-3794</v>
      </c>
      <c r="G47" s="22" t="s">
        <v>14</v>
      </c>
      <c r="H47" s="8" t="s">
        <v>95</v>
      </c>
      <c r="I47" s="9"/>
      <c r="J47" s="9"/>
      <c r="K47" s="9"/>
      <c r="L47" s="9"/>
      <c r="M47" s="9"/>
    </row>
    <row r="48" ht="22.5" customHeight="1">
      <c r="A48" s="4">
        <v>45757.0</v>
      </c>
      <c r="B48" s="5" t="s">
        <v>22</v>
      </c>
      <c r="C48" s="6" t="s">
        <v>96</v>
      </c>
      <c r="D48" s="7">
        <v>-431.0</v>
      </c>
      <c r="E48" s="5" t="s">
        <v>13</v>
      </c>
      <c r="F48" s="21">
        <f t="shared" si="4"/>
        <v>-431</v>
      </c>
      <c r="G48" s="8" t="s">
        <v>14</v>
      </c>
      <c r="H48" s="8" t="s">
        <v>97</v>
      </c>
      <c r="I48" s="9"/>
      <c r="J48" s="9"/>
      <c r="K48" s="9"/>
      <c r="L48" s="9"/>
      <c r="M48" s="9"/>
    </row>
    <row r="49" ht="22.5" customHeight="1">
      <c r="A49" s="4">
        <v>45757.0</v>
      </c>
      <c r="B49" s="5" t="s">
        <v>17</v>
      </c>
      <c r="C49" s="6" t="s">
        <v>34</v>
      </c>
      <c r="D49" s="7">
        <v>-143.0</v>
      </c>
      <c r="E49" s="5" t="s">
        <v>13</v>
      </c>
      <c r="F49" s="21">
        <f t="shared" si="4"/>
        <v>-143</v>
      </c>
      <c r="G49" s="8" t="s">
        <v>14</v>
      </c>
      <c r="H49" s="8" t="s">
        <v>97</v>
      </c>
      <c r="I49" s="9"/>
      <c r="J49" s="9"/>
      <c r="K49" s="9"/>
      <c r="L49" s="9"/>
      <c r="M49" s="9"/>
    </row>
    <row r="50" ht="22.5" customHeight="1">
      <c r="A50" s="4">
        <v>45757.0</v>
      </c>
      <c r="B50" s="5" t="s">
        <v>17</v>
      </c>
      <c r="C50" s="6" t="s">
        <v>98</v>
      </c>
      <c r="D50" s="7">
        <v>-582.0</v>
      </c>
      <c r="E50" s="5" t="s">
        <v>13</v>
      </c>
      <c r="F50" s="21">
        <f t="shared" si="4"/>
        <v>-582</v>
      </c>
      <c r="G50" s="8" t="s">
        <v>14</v>
      </c>
      <c r="H50" s="8" t="s">
        <v>97</v>
      </c>
      <c r="I50" s="9"/>
      <c r="J50" s="9"/>
      <c r="K50" s="9"/>
      <c r="L50" s="9"/>
      <c r="M50" s="9"/>
    </row>
    <row r="51" ht="22.5" customHeight="1">
      <c r="A51" s="4">
        <v>45759.0</v>
      </c>
      <c r="B51" s="5" t="s">
        <v>22</v>
      </c>
      <c r="C51" s="6" t="s">
        <v>99</v>
      </c>
      <c r="D51" s="7">
        <v>-1140.0</v>
      </c>
      <c r="E51" s="5" t="s">
        <v>13</v>
      </c>
      <c r="F51" s="21">
        <f t="shared" si="4"/>
        <v>-1140</v>
      </c>
      <c r="G51" s="8" t="s">
        <v>14</v>
      </c>
      <c r="H51" s="8" t="s">
        <v>100</v>
      </c>
      <c r="I51" s="9"/>
      <c r="J51" s="9"/>
      <c r="K51" s="9"/>
      <c r="L51" s="9"/>
      <c r="M51" s="9"/>
    </row>
    <row r="52" ht="22.5" customHeight="1">
      <c r="A52" s="4">
        <v>45759.0</v>
      </c>
      <c r="B52" s="5" t="s">
        <v>22</v>
      </c>
      <c r="C52" s="6" t="s">
        <v>24</v>
      </c>
      <c r="D52" s="7">
        <v>-273.0</v>
      </c>
      <c r="E52" s="5" t="s">
        <v>13</v>
      </c>
      <c r="F52" s="21">
        <f t="shared" si="4"/>
        <v>-273</v>
      </c>
      <c r="G52" s="8" t="s">
        <v>14</v>
      </c>
      <c r="H52" s="8" t="s">
        <v>97</v>
      </c>
      <c r="I52" s="9"/>
      <c r="J52" s="9"/>
      <c r="K52" s="9"/>
      <c r="L52" s="9"/>
      <c r="M52" s="9"/>
    </row>
    <row r="53" ht="22.5" customHeight="1">
      <c r="A53" s="4">
        <v>45760.0</v>
      </c>
      <c r="B53" s="5" t="s">
        <v>17</v>
      </c>
      <c r="C53" s="6" t="s">
        <v>101</v>
      </c>
      <c r="D53" s="7">
        <v>-30.0</v>
      </c>
      <c r="E53" s="5" t="s">
        <v>13</v>
      </c>
      <c r="F53" s="21">
        <f t="shared" si="4"/>
        <v>-30</v>
      </c>
      <c r="G53" s="8" t="s">
        <v>14</v>
      </c>
      <c r="H53" s="8" t="s">
        <v>97</v>
      </c>
      <c r="I53" s="9"/>
      <c r="J53" s="9"/>
      <c r="K53" s="9"/>
      <c r="L53" s="9"/>
      <c r="M53" s="9"/>
    </row>
    <row r="54" ht="22.5" customHeight="1">
      <c r="A54" s="4">
        <v>45760.0</v>
      </c>
      <c r="B54" s="5" t="s">
        <v>22</v>
      </c>
      <c r="C54" s="6" t="s">
        <v>76</v>
      </c>
      <c r="D54" s="7">
        <v>-60.0</v>
      </c>
      <c r="E54" s="5" t="s">
        <v>13</v>
      </c>
      <c r="F54" s="21">
        <f t="shared" si="4"/>
        <v>-60</v>
      </c>
      <c r="G54" s="8" t="s">
        <v>14</v>
      </c>
      <c r="H54" s="8" t="s">
        <v>97</v>
      </c>
      <c r="I54" s="9"/>
      <c r="J54" s="9"/>
      <c r="K54" s="9"/>
      <c r="L54" s="9"/>
      <c r="M54" s="9"/>
    </row>
    <row r="55" ht="22.5" customHeight="1">
      <c r="A55" s="4">
        <v>45764.0</v>
      </c>
      <c r="B55" s="5" t="s">
        <v>22</v>
      </c>
      <c r="C55" s="23" t="s">
        <v>102</v>
      </c>
      <c r="D55" s="7">
        <v>-75.0</v>
      </c>
      <c r="E55" s="5" t="s">
        <v>13</v>
      </c>
      <c r="F55" s="21">
        <f t="shared" si="4"/>
        <v>-75</v>
      </c>
      <c r="G55" s="17"/>
      <c r="H55" s="17"/>
      <c r="I55" s="9"/>
      <c r="J55" s="9"/>
      <c r="K55" s="9"/>
      <c r="L55" s="9"/>
      <c r="M55" s="9"/>
    </row>
    <row r="56" ht="22.5" customHeight="1">
      <c r="A56" s="4">
        <v>45765.0</v>
      </c>
      <c r="B56" s="5" t="s">
        <v>30</v>
      </c>
      <c r="C56" s="24" t="s">
        <v>103</v>
      </c>
      <c r="D56" s="7">
        <v>-20.0</v>
      </c>
      <c r="E56" s="5" t="s">
        <v>13</v>
      </c>
      <c r="F56" s="21">
        <f t="shared" si="4"/>
        <v>-20</v>
      </c>
      <c r="G56" s="17"/>
      <c r="H56" s="17"/>
      <c r="I56" s="9"/>
      <c r="J56" s="9"/>
      <c r="K56" s="9"/>
      <c r="L56" s="9"/>
      <c r="M56" s="9"/>
    </row>
    <row r="57" ht="22.5" customHeight="1">
      <c r="A57" s="4">
        <v>45765.0</v>
      </c>
      <c r="B57" s="5" t="s">
        <v>30</v>
      </c>
      <c r="C57" s="23" t="s">
        <v>103</v>
      </c>
      <c r="D57" s="7">
        <v>-30.0</v>
      </c>
      <c r="E57" s="5" t="s">
        <v>13</v>
      </c>
      <c r="F57" s="21">
        <f t="shared" si="4"/>
        <v>-30</v>
      </c>
      <c r="G57" s="17"/>
      <c r="H57" s="17"/>
      <c r="I57" s="9"/>
      <c r="J57" s="9"/>
      <c r="K57" s="9"/>
      <c r="L57" s="9"/>
      <c r="M57" s="9"/>
    </row>
    <row r="58" ht="22.5" customHeight="1">
      <c r="A58" s="4">
        <v>45766.0</v>
      </c>
      <c r="B58" s="5" t="s">
        <v>22</v>
      </c>
      <c r="C58" s="24" t="s">
        <v>104</v>
      </c>
      <c r="D58" s="7">
        <v>-209.0</v>
      </c>
      <c r="E58" s="5" t="s">
        <v>13</v>
      </c>
      <c r="F58" s="21">
        <f t="shared" si="4"/>
        <v>-209</v>
      </c>
      <c r="G58" s="17"/>
      <c r="H58" s="17"/>
      <c r="I58" s="9"/>
      <c r="J58" s="9"/>
      <c r="K58" s="9"/>
      <c r="L58" s="9"/>
      <c r="M58" s="9"/>
    </row>
    <row r="59" ht="22.5" customHeight="1">
      <c r="A59" s="4">
        <v>45766.0</v>
      </c>
      <c r="B59" s="5" t="s">
        <v>22</v>
      </c>
      <c r="C59" s="23" t="s">
        <v>29</v>
      </c>
      <c r="D59" s="7">
        <v>-4064.0</v>
      </c>
      <c r="E59" s="5" t="s">
        <v>13</v>
      </c>
      <c r="F59" s="21">
        <f t="shared" si="4"/>
        <v>-4064</v>
      </c>
      <c r="G59" s="17"/>
      <c r="H59" s="17"/>
      <c r="I59" s="9"/>
      <c r="J59" s="9"/>
      <c r="K59" s="9"/>
      <c r="L59" s="9"/>
      <c r="M59" s="9"/>
    </row>
    <row r="60" ht="22.5" customHeight="1">
      <c r="A60" s="4">
        <v>45766.0</v>
      </c>
      <c r="B60" s="5" t="s">
        <v>17</v>
      </c>
      <c r="C60" s="24" t="s">
        <v>105</v>
      </c>
      <c r="D60" s="7">
        <v>-350.0</v>
      </c>
      <c r="E60" s="5" t="s">
        <v>13</v>
      </c>
      <c r="F60" s="21">
        <f t="shared" si="4"/>
        <v>-350</v>
      </c>
      <c r="G60" s="17"/>
      <c r="H60" s="17"/>
      <c r="I60" s="9"/>
      <c r="J60" s="9"/>
      <c r="K60" s="9"/>
      <c r="L60" s="9"/>
      <c r="M60" s="9"/>
    </row>
    <row r="61" ht="22.5" customHeight="1">
      <c r="A61" s="4">
        <v>45766.0</v>
      </c>
      <c r="B61" s="5" t="s">
        <v>30</v>
      </c>
      <c r="C61" s="23" t="s">
        <v>106</v>
      </c>
      <c r="D61" s="7">
        <v>-6677.0</v>
      </c>
      <c r="E61" s="5" t="s">
        <v>13</v>
      </c>
      <c r="F61" s="21">
        <f t="shared" si="4"/>
        <v>-6677</v>
      </c>
      <c r="G61" s="17"/>
      <c r="H61" s="17"/>
      <c r="I61" s="9"/>
      <c r="J61" s="9"/>
      <c r="K61" s="9"/>
      <c r="L61" s="9"/>
      <c r="M61" s="9"/>
    </row>
    <row r="62" ht="22.5" customHeight="1">
      <c r="A62" s="4">
        <v>45768.0</v>
      </c>
      <c r="B62" s="5" t="s">
        <v>22</v>
      </c>
      <c r="C62" s="24" t="s">
        <v>107</v>
      </c>
      <c r="D62" s="7">
        <v>-130.0</v>
      </c>
      <c r="E62" s="5" t="s">
        <v>13</v>
      </c>
      <c r="F62" s="21">
        <f t="shared" si="4"/>
        <v>-130</v>
      </c>
      <c r="G62" s="17"/>
      <c r="H62" s="17"/>
      <c r="I62" s="9"/>
      <c r="J62" s="9"/>
      <c r="K62" s="9"/>
      <c r="L62" s="9"/>
      <c r="M62" s="9"/>
    </row>
    <row r="63" ht="22.5" customHeight="1">
      <c r="A63" s="4">
        <v>45767.0</v>
      </c>
      <c r="B63" s="5" t="s">
        <v>22</v>
      </c>
      <c r="C63" s="23" t="s">
        <v>108</v>
      </c>
      <c r="D63" s="7">
        <v>-98.0</v>
      </c>
      <c r="E63" s="5" t="s">
        <v>13</v>
      </c>
      <c r="F63" s="21">
        <f t="shared" si="4"/>
        <v>-98</v>
      </c>
      <c r="G63" s="17"/>
      <c r="H63" s="17"/>
      <c r="I63" s="9"/>
      <c r="J63" s="9"/>
      <c r="K63" s="9"/>
      <c r="L63" s="9"/>
      <c r="M63" s="9"/>
    </row>
    <row r="64" ht="22.5" customHeight="1">
      <c r="A64" s="4">
        <v>45767.0</v>
      </c>
      <c r="B64" s="5" t="s">
        <v>22</v>
      </c>
      <c r="C64" s="24" t="s">
        <v>108</v>
      </c>
      <c r="D64" s="7">
        <v>-40.0</v>
      </c>
      <c r="E64" s="5" t="s">
        <v>13</v>
      </c>
      <c r="F64" s="21">
        <f t="shared" si="4"/>
        <v>-40</v>
      </c>
      <c r="G64" s="17"/>
      <c r="H64" s="17"/>
      <c r="I64" s="9"/>
      <c r="J64" s="9"/>
      <c r="K64" s="9"/>
      <c r="L64" s="9"/>
      <c r="M64" s="9"/>
    </row>
    <row r="65" ht="22.5" customHeight="1">
      <c r="A65" s="4">
        <v>45766.0</v>
      </c>
      <c r="B65" s="5" t="s">
        <v>22</v>
      </c>
      <c r="C65" s="23" t="s">
        <v>109</v>
      </c>
      <c r="D65" s="7">
        <v>-107.0</v>
      </c>
      <c r="E65" s="5" t="s">
        <v>13</v>
      </c>
      <c r="F65" s="21">
        <f t="shared" si="4"/>
        <v>-107</v>
      </c>
      <c r="G65" s="17"/>
      <c r="H65" s="17"/>
      <c r="I65" s="9"/>
      <c r="J65" s="9"/>
      <c r="K65" s="9"/>
      <c r="L65" s="9"/>
      <c r="M65" s="9"/>
    </row>
    <row r="66" ht="22.5" customHeight="1">
      <c r="A66" s="4">
        <v>45766.0</v>
      </c>
      <c r="B66" s="5" t="s">
        <v>22</v>
      </c>
      <c r="C66" s="24" t="s">
        <v>108</v>
      </c>
      <c r="D66" s="7">
        <v>-40.0</v>
      </c>
      <c r="E66" s="5" t="s">
        <v>13</v>
      </c>
      <c r="F66" s="21">
        <f t="shared" si="4"/>
        <v>-40</v>
      </c>
      <c r="G66" s="17"/>
      <c r="H66" s="17"/>
      <c r="I66" s="9"/>
      <c r="J66" s="9"/>
      <c r="K66" s="9"/>
      <c r="L66" s="9"/>
      <c r="M66" s="9"/>
    </row>
    <row r="67" ht="22.5" customHeight="1">
      <c r="A67" s="4">
        <v>45772.0</v>
      </c>
      <c r="B67" s="5" t="s">
        <v>22</v>
      </c>
      <c r="C67" s="23" t="s">
        <v>110</v>
      </c>
      <c r="D67" s="7">
        <v>-933.0</v>
      </c>
      <c r="E67" s="5" t="s">
        <v>13</v>
      </c>
      <c r="F67" s="21">
        <f t="shared" si="4"/>
        <v>-933</v>
      </c>
      <c r="G67" s="17"/>
      <c r="H67" s="17"/>
      <c r="I67" s="9"/>
      <c r="J67" s="9"/>
      <c r="K67" s="9"/>
      <c r="L67" s="9"/>
      <c r="M67" s="9"/>
    </row>
    <row r="68" ht="22.5" customHeight="1">
      <c r="A68" s="4">
        <v>45772.0</v>
      </c>
      <c r="B68" s="5" t="s">
        <v>22</v>
      </c>
      <c r="C68" s="24" t="s">
        <v>111</v>
      </c>
      <c r="D68" s="7">
        <v>-65.0</v>
      </c>
      <c r="E68" s="5" t="s">
        <v>13</v>
      </c>
      <c r="F68" s="21">
        <f t="shared" si="4"/>
        <v>-65</v>
      </c>
      <c r="G68" s="17"/>
      <c r="H68" s="17"/>
      <c r="I68" s="9"/>
      <c r="J68" s="9"/>
      <c r="K68" s="9"/>
      <c r="L68" s="9"/>
      <c r="M68" s="9"/>
    </row>
    <row r="69" ht="22.5" customHeight="1">
      <c r="A69" s="4">
        <v>45772.0</v>
      </c>
      <c r="B69" s="5" t="s">
        <v>17</v>
      </c>
      <c r="C69" s="23" t="s">
        <v>112</v>
      </c>
      <c r="D69" s="7">
        <v>-3000.0</v>
      </c>
      <c r="E69" s="5" t="s">
        <v>13</v>
      </c>
      <c r="F69" s="21">
        <f t="shared" si="4"/>
        <v>-3000</v>
      </c>
      <c r="G69" s="17"/>
      <c r="H69" s="17"/>
      <c r="I69" s="9"/>
      <c r="J69" s="9"/>
      <c r="K69" s="9"/>
      <c r="L69" s="9"/>
      <c r="M69" s="9"/>
    </row>
    <row r="70" ht="22.5" customHeight="1">
      <c r="A70" s="4">
        <v>45773.0</v>
      </c>
      <c r="B70" s="5" t="s">
        <v>22</v>
      </c>
      <c r="C70" s="24" t="s">
        <v>113</v>
      </c>
      <c r="D70" s="7">
        <v>-87.0</v>
      </c>
      <c r="E70" s="5" t="s">
        <v>13</v>
      </c>
      <c r="F70" s="21">
        <f t="shared" si="4"/>
        <v>-87</v>
      </c>
      <c r="G70" s="17"/>
      <c r="H70" s="17"/>
      <c r="I70" s="9"/>
      <c r="J70" s="9"/>
      <c r="K70" s="9"/>
      <c r="L70" s="9"/>
      <c r="M70" s="9"/>
    </row>
    <row r="71" ht="22.5" customHeight="1">
      <c r="A71" s="4">
        <v>45773.0</v>
      </c>
      <c r="B71" s="5" t="s">
        <v>30</v>
      </c>
      <c r="C71" s="23" t="s">
        <v>114</v>
      </c>
      <c r="D71" s="7">
        <v>-30.0</v>
      </c>
      <c r="E71" s="5" t="s">
        <v>13</v>
      </c>
      <c r="F71" s="21">
        <f t="shared" si="4"/>
        <v>-30</v>
      </c>
      <c r="G71" s="17"/>
      <c r="H71" s="17"/>
      <c r="I71" s="9"/>
      <c r="J71" s="9"/>
      <c r="K71" s="9"/>
      <c r="L71" s="9"/>
      <c r="M71" s="9"/>
    </row>
    <row r="72" ht="22.5" customHeight="1">
      <c r="A72" s="4">
        <v>45773.0</v>
      </c>
      <c r="B72" s="5" t="s">
        <v>22</v>
      </c>
      <c r="C72" s="24" t="s">
        <v>115</v>
      </c>
      <c r="D72" s="7">
        <v>-110.0</v>
      </c>
      <c r="E72" s="5" t="s">
        <v>13</v>
      </c>
      <c r="F72" s="21">
        <f t="shared" si="4"/>
        <v>-110</v>
      </c>
      <c r="G72" s="17"/>
      <c r="H72" s="17"/>
      <c r="I72" s="9"/>
      <c r="J72" s="9"/>
      <c r="K72" s="9"/>
      <c r="L72" s="9"/>
      <c r="M72" s="9"/>
    </row>
    <row r="73" ht="22.5" customHeight="1">
      <c r="A73" s="4">
        <v>45773.0</v>
      </c>
      <c r="B73" s="5" t="s">
        <v>30</v>
      </c>
      <c r="C73" s="23" t="s">
        <v>116</v>
      </c>
      <c r="D73" s="7">
        <v>-60.0</v>
      </c>
      <c r="E73" s="5" t="s">
        <v>13</v>
      </c>
      <c r="F73" s="21">
        <f t="shared" si="4"/>
        <v>-60</v>
      </c>
      <c r="G73" s="17"/>
      <c r="H73" s="17"/>
      <c r="I73" s="9"/>
      <c r="J73" s="9"/>
      <c r="K73" s="9"/>
      <c r="L73" s="9"/>
      <c r="M73" s="9"/>
    </row>
    <row r="74" ht="22.5" customHeight="1">
      <c r="A74" s="4">
        <v>45773.0</v>
      </c>
      <c r="B74" s="5" t="s">
        <v>22</v>
      </c>
      <c r="C74" s="24" t="s">
        <v>110</v>
      </c>
      <c r="D74" s="7">
        <v>-795.0</v>
      </c>
      <c r="E74" s="5" t="s">
        <v>13</v>
      </c>
      <c r="F74" s="21">
        <f t="shared" si="4"/>
        <v>-795</v>
      </c>
      <c r="G74" s="17"/>
      <c r="H74" s="17"/>
      <c r="I74" s="9"/>
      <c r="J74" s="9"/>
      <c r="K74" s="9"/>
      <c r="L74" s="9"/>
      <c r="M74" s="9"/>
    </row>
    <row r="75" ht="22.5" customHeight="1">
      <c r="A75" s="4">
        <v>45774.0</v>
      </c>
      <c r="B75" s="5" t="s">
        <v>22</v>
      </c>
      <c r="C75" s="23" t="s">
        <v>110</v>
      </c>
      <c r="D75" s="7">
        <v>-419.0</v>
      </c>
      <c r="E75" s="5" t="s">
        <v>13</v>
      </c>
      <c r="F75" s="21">
        <f t="shared" si="4"/>
        <v>-419</v>
      </c>
      <c r="G75" s="17"/>
      <c r="H75" s="17"/>
      <c r="I75" s="9"/>
      <c r="J75" s="9"/>
      <c r="K75" s="9"/>
      <c r="L75" s="9"/>
      <c r="M75" s="9"/>
    </row>
    <row r="76" ht="22.5" customHeight="1">
      <c r="A76" s="4">
        <v>45774.0</v>
      </c>
      <c r="B76" s="5" t="s">
        <v>22</v>
      </c>
      <c r="C76" s="24" t="s">
        <v>76</v>
      </c>
      <c r="D76" s="7">
        <v>-48.0</v>
      </c>
      <c r="E76" s="5" t="s">
        <v>13</v>
      </c>
      <c r="F76" s="21">
        <f t="shared" si="4"/>
        <v>-48</v>
      </c>
      <c r="G76" s="17"/>
      <c r="H76" s="17"/>
      <c r="I76" s="9"/>
      <c r="J76" s="9"/>
      <c r="K76" s="9"/>
      <c r="L76" s="9"/>
      <c r="M76" s="9"/>
    </row>
    <row r="77" ht="22.5" customHeight="1">
      <c r="A77" s="4">
        <v>45775.0</v>
      </c>
      <c r="B77" s="5" t="s">
        <v>22</v>
      </c>
      <c r="C77" s="25" t="s">
        <v>117</v>
      </c>
      <c r="D77" s="7">
        <v>-56.0</v>
      </c>
      <c r="E77" s="5" t="s">
        <v>13</v>
      </c>
      <c r="F77" s="21">
        <f t="shared" si="4"/>
        <v>-56</v>
      </c>
      <c r="G77" s="17"/>
      <c r="H77" s="17"/>
      <c r="I77" s="9"/>
      <c r="J77" s="9"/>
      <c r="K77" s="9"/>
      <c r="L77" s="9"/>
      <c r="M77" s="9"/>
    </row>
    <row r="78" ht="22.5" customHeight="1">
      <c r="A78" s="15"/>
      <c r="B78" s="15"/>
      <c r="C78" s="15"/>
      <c r="D78" s="26">
        <f>SUM(表_3[TWD])</f>
        <v>-57786.72</v>
      </c>
      <c r="E78" s="15"/>
      <c r="F78" s="15"/>
      <c r="G78" s="15"/>
      <c r="H78" s="15"/>
      <c r="I78" s="9"/>
      <c r="J78" s="9"/>
      <c r="K78" s="9"/>
      <c r="L78" s="9"/>
      <c r="M78" s="9"/>
    </row>
  </sheetData>
  <dataValidations>
    <dataValidation type="list" allowBlank="1" sqref="B2:B77">
      <formula1>"Income,Trasportation,Accommdation,Others,Food,Entertainment "</formula1>
    </dataValidation>
    <dataValidation type="list" allowBlank="1" sqref="E2:E77">
      <formula1>"AUD,TWD,Yen"</formula1>
    </dataValidation>
    <dataValidation type="custom" allowBlank="1" showDropDown="1" sqref="A2:A77">
      <formula1>OR(NOT(ISERROR(DATEVALUE(A2))), AND(ISNUMBER(A2), LEFT(CELL("format", A2))="D"))</formula1>
    </dataValidation>
    <dataValidation type="custom" allowBlank="1" showDropDown="1" sqref="D2:D77">
      <formula1>AND(ISNUMBER(D2),(NOT(OR(NOT(ISERROR(DATEVALUE(D2))), AND(ISNUMBER(D2), LEFT(CELL("format", D2))="D")))))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H7"/>
    <hyperlink r:id="rId8" ref="G8"/>
    <hyperlink r:id="rId9" ref="H8"/>
    <hyperlink r:id="rId10" ref="G9"/>
    <hyperlink r:id="rId11" ref="H9"/>
    <hyperlink r:id="rId12" ref="G10"/>
    <hyperlink r:id="rId13" ref="H10"/>
    <hyperlink r:id="rId14" ref="G11"/>
    <hyperlink r:id="rId15" ref="H11"/>
    <hyperlink r:id="rId16" ref="G12"/>
    <hyperlink r:id="rId17" ref="H12"/>
    <hyperlink r:id="rId18" ref="G13"/>
    <hyperlink r:id="rId19" ref="H13"/>
    <hyperlink r:id="rId20" ref="G14"/>
    <hyperlink r:id="rId21" ref="H14"/>
    <hyperlink r:id="rId22" ref="G15"/>
    <hyperlink r:id="rId23" ref="H15"/>
    <hyperlink r:id="rId24" ref="G16"/>
    <hyperlink r:id="rId25" ref="H16"/>
    <hyperlink r:id="rId26" ref="G17"/>
    <hyperlink r:id="rId27" ref="H17"/>
    <hyperlink r:id="rId28" ref="G18"/>
    <hyperlink r:id="rId29" ref="H18"/>
    <hyperlink r:id="rId30" ref="G19"/>
    <hyperlink r:id="rId31" ref="H19"/>
    <hyperlink r:id="rId32" ref="G20"/>
    <hyperlink r:id="rId33" ref="H20"/>
    <hyperlink r:id="rId34" ref="G21"/>
    <hyperlink r:id="rId35" ref="H21"/>
    <hyperlink r:id="rId36" ref="G22"/>
    <hyperlink r:id="rId37" ref="H22"/>
    <hyperlink r:id="rId38" ref="G23"/>
    <hyperlink r:id="rId39" ref="H23"/>
    <hyperlink r:id="rId40" ref="G24"/>
    <hyperlink r:id="rId41" ref="H24"/>
    <hyperlink r:id="rId42" ref="G25"/>
    <hyperlink r:id="rId43" ref="H25"/>
    <hyperlink r:id="rId44" ref="G26"/>
    <hyperlink r:id="rId45" ref="H26"/>
    <hyperlink r:id="rId46" ref="G27"/>
    <hyperlink r:id="rId47" ref="H27"/>
    <hyperlink r:id="rId48" ref="H28"/>
    <hyperlink r:id="rId49" ref="G29"/>
    <hyperlink r:id="rId50" ref="H29"/>
    <hyperlink r:id="rId51" ref="G30"/>
    <hyperlink r:id="rId52" ref="H30"/>
    <hyperlink r:id="rId53" ref="G31"/>
    <hyperlink r:id="rId54" ref="H31"/>
    <hyperlink r:id="rId55" ref="G32"/>
    <hyperlink r:id="rId56" ref="H32"/>
    <hyperlink r:id="rId57" ref="G33"/>
    <hyperlink r:id="rId58" ref="H33"/>
    <hyperlink r:id="rId59" ref="G34"/>
    <hyperlink r:id="rId60" ref="H34"/>
    <hyperlink r:id="rId61" ref="G35"/>
    <hyperlink r:id="rId62" ref="H35"/>
    <hyperlink r:id="rId63" ref="G36"/>
    <hyperlink r:id="rId64" ref="H36"/>
    <hyperlink r:id="rId65" ref="G37"/>
    <hyperlink r:id="rId66" ref="H37"/>
    <hyperlink r:id="rId67" ref="G38"/>
    <hyperlink r:id="rId68" ref="H38"/>
    <hyperlink r:id="rId69" ref="G39"/>
    <hyperlink r:id="rId70" ref="H39"/>
    <hyperlink r:id="rId71" ref="G40"/>
    <hyperlink r:id="rId72" ref="H40"/>
    <hyperlink r:id="rId73" ref="G41"/>
    <hyperlink r:id="rId74" ref="H41"/>
    <hyperlink r:id="rId75" ref="G42"/>
    <hyperlink r:id="rId76" ref="H42"/>
    <hyperlink r:id="rId77" ref="G43"/>
    <hyperlink r:id="rId78" ref="H43"/>
    <hyperlink r:id="rId79" ref="G44"/>
    <hyperlink r:id="rId80" ref="H44"/>
    <hyperlink r:id="rId81" ref="G45"/>
    <hyperlink r:id="rId82" ref="H45"/>
    <hyperlink r:id="rId83" ref="G46"/>
    <hyperlink r:id="rId84" ref="H46"/>
    <hyperlink r:id="rId85" ref="G47"/>
    <hyperlink r:id="rId86" ref="H47"/>
    <hyperlink r:id="rId87" ref="G48"/>
    <hyperlink r:id="rId88" ref="H48"/>
    <hyperlink r:id="rId89" ref="G49"/>
    <hyperlink r:id="rId90" ref="H49"/>
    <hyperlink r:id="rId91" ref="G50"/>
    <hyperlink r:id="rId92" ref="H50"/>
    <hyperlink r:id="rId93" ref="G51"/>
    <hyperlink r:id="rId94" ref="H51"/>
    <hyperlink r:id="rId95" ref="G52"/>
    <hyperlink r:id="rId96" ref="H52"/>
    <hyperlink r:id="rId97" ref="G53"/>
    <hyperlink r:id="rId98" ref="H53"/>
    <hyperlink r:id="rId99" ref="G54"/>
    <hyperlink r:id="rId100" ref="H54"/>
  </hyperlinks>
  <drawing r:id="rId101"/>
  <tableParts count="1">
    <tablePart r:id="rId10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13</v>
      </c>
      <c r="G1" s="2" t="s">
        <v>5</v>
      </c>
      <c r="H1" s="2" t="s">
        <v>118</v>
      </c>
    </row>
    <row r="2" ht="22.5" customHeight="1">
      <c r="A2" s="4">
        <v>45778.0</v>
      </c>
      <c r="B2" s="5" t="s">
        <v>11</v>
      </c>
      <c r="C2" s="6" t="s">
        <v>12</v>
      </c>
      <c r="D2" s="7">
        <v>28000.0</v>
      </c>
      <c r="E2" s="5" t="s">
        <v>13</v>
      </c>
      <c r="F2" s="17">
        <f t="shared" ref="F2:F70" si="1">D2*1</f>
        <v>28000</v>
      </c>
      <c r="G2" s="8" t="s">
        <v>14</v>
      </c>
      <c r="H2" s="17"/>
    </row>
    <row r="3" ht="22.5" customHeight="1">
      <c r="A3" s="4">
        <v>45778.0</v>
      </c>
      <c r="B3" s="5" t="s">
        <v>22</v>
      </c>
      <c r="C3" s="6" t="s">
        <v>119</v>
      </c>
      <c r="D3" s="7">
        <v>-219.0</v>
      </c>
      <c r="E3" s="5" t="s">
        <v>13</v>
      </c>
      <c r="F3" s="17">
        <f t="shared" si="1"/>
        <v>-219</v>
      </c>
      <c r="G3" s="8" t="s">
        <v>14</v>
      </c>
      <c r="H3" s="17"/>
    </row>
    <row r="4" ht="22.5" customHeight="1">
      <c r="A4" s="4">
        <v>45778.0</v>
      </c>
      <c r="B4" s="5" t="s">
        <v>30</v>
      </c>
      <c r="C4" s="6" t="s">
        <v>120</v>
      </c>
      <c r="D4" s="7">
        <v>-50.0</v>
      </c>
      <c r="E4" s="5" t="s">
        <v>13</v>
      </c>
      <c r="F4" s="17">
        <f t="shared" si="1"/>
        <v>-50</v>
      </c>
      <c r="G4" s="8" t="s">
        <v>14</v>
      </c>
      <c r="H4" s="17"/>
    </row>
    <row r="5" ht="22.5" customHeight="1">
      <c r="A5" s="4">
        <v>45778.0</v>
      </c>
      <c r="B5" s="5" t="s">
        <v>50</v>
      </c>
      <c r="C5" s="6" t="s">
        <v>121</v>
      </c>
      <c r="D5" s="7">
        <v>-145.0</v>
      </c>
      <c r="E5" s="5" t="s">
        <v>13</v>
      </c>
      <c r="F5" s="17">
        <f t="shared" si="1"/>
        <v>-145</v>
      </c>
      <c r="G5" s="8" t="s">
        <v>14</v>
      </c>
      <c r="H5" s="17"/>
    </row>
    <row r="6" ht="22.5" customHeight="1">
      <c r="A6" s="4">
        <v>45778.0</v>
      </c>
      <c r="B6" s="5" t="s">
        <v>50</v>
      </c>
      <c r="C6" s="6" t="s">
        <v>122</v>
      </c>
      <c r="D6" s="7">
        <v>-399.0</v>
      </c>
      <c r="E6" s="5" t="s">
        <v>13</v>
      </c>
      <c r="F6" s="17">
        <f t="shared" si="1"/>
        <v>-399</v>
      </c>
      <c r="G6" s="8" t="s">
        <v>14</v>
      </c>
      <c r="H6" s="17"/>
    </row>
    <row r="7" ht="22.5" customHeight="1">
      <c r="A7" s="4">
        <v>45778.0</v>
      </c>
      <c r="B7" s="5" t="s">
        <v>22</v>
      </c>
      <c r="C7" s="6" t="s">
        <v>123</v>
      </c>
      <c r="D7" s="7">
        <v>-22.0</v>
      </c>
      <c r="E7" s="5" t="s">
        <v>13</v>
      </c>
      <c r="F7" s="17">
        <f t="shared" si="1"/>
        <v>-22</v>
      </c>
      <c r="G7" s="8" t="s">
        <v>14</v>
      </c>
      <c r="H7" s="17"/>
    </row>
    <row r="8" ht="22.5" customHeight="1">
      <c r="A8" s="4">
        <v>45778.0</v>
      </c>
      <c r="B8" s="5" t="s">
        <v>58</v>
      </c>
      <c r="C8" s="6" t="s">
        <v>124</v>
      </c>
      <c r="D8" s="7">
        <v>-12000.0</v>
      </c>
      <c r="E8" s="5" t="s">
        <v>13</v>
      </c>
      <c r="F8" s="17">
        <f t="shared" si="1"/>
        <v>-12000</v>
      </c>
      <c r="G8" s="8" t="s">
        <v>14</v>
      </c>
      <c r="H8" s="17"/>
    </row>
    <row r="9" ht="22.5" customHeight="1">
      <c r="A9" s="4">
        <v>45778.0</v>
      </c>
      <c r="B9" s="5" t="s">
        <v>50</v>
      </c>
      <c r="C9" s="6" t="s">
        <v>125</v>
      </c>
      <c r="D9" s="7">
        <v>-399.0</v>
      </c>
      <c r="E9" s="5" t="s">
        <v>13</v>
      </c>
      <c r="F9" s="17">
        <f t="shared" si="1"/>
        <v>-399</v>
      </c>
      <c r="G9" s="8" t="s">
        <v>14</v>
      </c>
      <c r="H9" s="17"/>
    </row>
    <row r="10" ht="22.5" customHeight="1">
      <c r="A10" s="4">
        <v>45778.0</v>
      </c>
      <c r="B10" s="5" t="s">
        <v>11</v>
      </c>
      <c r="C10" s="6" t="s">
        <v>15</v>
      </c>
      <c r="D10" s="7">
        <v>22000.0</v>
      </c>
      <c r="E10" s="5" t="s">
        <v>13</v>
      </c>
      <c r="F10" s="17">
        <f t="shared" si="1"/>
        <v>22000</v>
      </c>
      <c r="G10" s="8" t="s">
        <v>16</v>
      </c>
      <c r="H10" s="17"/>
    </row>
    <row r="11" ht="22.5" customHeight="1">
      <c r="A11" s="4">
        <v>45779.0</v>
      </c>
      <c r="B11" s="5" t="s">
        <v>22</v>
      </c>
      <c r="C11" s="6" t="s">
        <v>126</v>
      </c>
      <c r="D11" s="7">
        <v>-795.0</v>
      </c>
      <c r="E11" s="5" t="s">
        <v>13</v>
      </c>
      <c r="F11" s="17">
        <f t="shared" si="1"/>
        <v>-795</v>
      </c>
      <c r="G11" s="8" t="s">
        <v>14</v>
      </c>
      <c r="H11" s="17"/>
    </row>
    <row r="12" ht="22.5" customHeight="1">
      <c r="A12" s="4">
        <v>45780.0</v>
      </c>
      <c r="B12" s="5" t="s">
        <v>22</v>
      </c>
      <c r="C12" s="6" t="s">
        <v>127</v>
      </c>
      <c r="D12" s="7">
        <v>-39.0</v>
      </c>
      <c r="E12" s="5" t="s">
        <v>13</v>
      </c>
      <c r="F12" s="17">
        <f t="shared" si="1"/>
        <v>-39</v>
      </c>
      <c r="G12" s="8" t="s">
        <v>14</v>
      </c>
      <c r="H12" s="17"/>
    </row>
    <row r="13" ht="22.5" customHeight="1">
      <c r="A13" s="4">
        <v>45780.0</v>
      </c>
      <c r="B13" s="5" t="s">
        <v>22</v>
      </c>
      <c r="C13" s="6" t="s">
        <v>128</v>
      </c>
      <c r="D13" s="7">
        <v>-50.0</v>
      </c>
      <c r="E13" s="5" t="s">
        <v>13</v>
      </c>
      <c r="F13" s="17">
        <f t="shared" si="1"/>
        <v>-50</v>
      </c>
      <c r="G13" s="8" t="s">
        <v>14</v>
      </c>
      <c r="H13" s="17"/>
    </row>
    <row r="14" ht="22.5" customHeight="1">
      <c r="A14" s="4">
        <v>45780.0</v>
      </c>
      <c r="B14" s="5" t="s">
        <v>22</v>
      </c>
      <c r="C14" s="6" t="s">
        <v>128</v>
      </c>
      <c r="D14" s="7">
        <v>-69.0</v>
      </c>
      <c r="E14" s="5" t="s">
        <v>13</v>
      </c>
      <c r="F14" s="17">
        <f t="shared" si="1"/>
        <v>-69</v>
      </c>
      <c r="G14" s="8" t="s">
        <v>14</v>
      </c>
      <c r="H14" s="17"/>
    </row>
    <row r="15" ht="22.5" customHeight="1">
      <c r="A15" s="4">
        <v>45780.0</v>
      </c>
      <c r="B15" s="5" t="s">
        <v>22</v>
      </c>
      <c r="C15" s="6" t="s">
        <v>129</v>
      </c>
      <c r="D15" s="7">
        <v>-422.0</v>
      </c>
      <c r="E15" s="5" t="s">
        <v>13</v>
      </c>
      <c r="F15" s="17">
        <f t="shared" si="1"/>
        <v>-422</v>
      </c>
      <c r="G15" s="8" t="s">
        <v>14</v>
      </c>
      <c r="H15" s="17"/>
    </row>
    <row r="16" ht="22.5" customHeight="1">
      <c r="A16" s="4">
        <v>45780.0</v>
      </c>
      <c r="B16" s="5" t="s">
        <v>22</v>
      </c>
      <c r="C16" s="6" t="s">
        <v>108</v>
      </c>
      <c r="D16" s="7">
        <v>-67.0</v>
      </c>
      <c r="E16" s="5" t="s">
        <v>13</v>
      </c>
      <c r="F16" s="17">
        <f t="shared" si="1"/>
        <v>-67</v>
      </c>
      <c r="G16" s="8" t="s">
        <v>14</v>
      </c>
      <c r="H16" s="17"/>
    </row>
    <row r="17" ht="22.5" customHeight="1">
      <c r="A17" s="4">
        <v>45781.0</v>
      </c>
      <c r="B17" s="5" t="s">
        <v>22</v>
      </c>
      <c r="C17" s="6" t="s">
        <v>24</v>
      </c>
      <c r="D17" s="7">
        <v>-120.0</v>
      </c>
      <c r="E17" s="5" t="s">
        <v>13</v>
      </c>
      <c r="F17" s="17">
        <f t="shared" si="1"/>
        <v>-120</v>
      </c>
      <c r="G17" s="8" t="s">
        <v>14</v>
      </c>
      <c r="H17" s="17"/>
    </row>
    <row r="18" ht="22.5" customHeight="1">
      <c r="A18" s="4">
        <v>45781.0</v>
      </c>
      <c r="B18" s="5" t="s">
        <v>17</v>
      </c>
      <c r="C18" s="6" t="s">
        <v>130</v>
      </c>
      <c r="D18" s="7">
        <v>-1935.0</v>
      </c>
      <c r="E18" s="5" t="s">
        <v>13</v>
      </c>
      <c r="F18" s="17">
        <f t="shared" si="1"/>
        <v>-1935</v>
      </c>
      <c r="G18" s="8" t="s">
        <v>14</v>
      </c>
      <c r="H18" s="17"/>
    </row>
    <row r="19" ht="22.5" customHeight="1">
      <c r="A19" s="4">
        <v>45781.0</v>
      </c>
      <c r="B19" s="5" t="s">
        <v>22</v>
      </c>
      <c r="C19" s="6" t="s">
        <v>131</v>
      </c>
      <c r="D19" s="7">
        <v>-106.0</v>
      </c>
      <c r="E19" s="5" t="s">
        <v>13</v>
      </c>
      <c r="F19" s="17">
        <f t="shared" si="1"/>
        <v>-106</v>
      </c>
      <c r="G19" s="8" t="s">
        <v>14</v>
      </c>
      <c r="H19" s="17"/>
    </row>
    <row r="20" ht="22.5" customHeight="1">
      <c r="A20" s="4">
        <v>45781.0</v>
      </c>
      <c r="B20" s="5" t="s">
        <v>22</v>
      </c>
      <c r="C20" s="6" t="s">
        <v>131</v>
      </c>
      <c r="D20" s="7">
        <v>-281.0</v>
      </c>
      <c r="E20" s="5" t="s">
        <v>13</v>
      </c>
      <c r="F20" s="17">
        <f t="shared" si="1"/>
        <v>-281</v>
      </c>
      <c r="G20" s="8" t="s">
        <v>14</v>
      </c>
      <c r="H20" s="17"/>
    </row>
    <row r="21" ht="22.5" customHeight="1">
      <c r="A21" s="4">
        <v>45781.0</v>
      </c>
      <c r="B21" s="5" t="s">
        <v>22</v>
      </c>
      <c r="C21" s="6" t="s">
        <v>132</v>
      </c>
      <c r="D21" s="7">
        <v>-115.0</v>
      </c>
      <c r="E21" s="5" t="s">
        <v>13</v>
      </c>
      <c r="F21" s="17">
        <f t="shared" si="1"/>
        <v>-115</v>
      </c>
      <c r="G21" s="8" t="s">
        <v>14</v>
      </c>
      <c r="H21" s="17"/>
    </row>
    <row r="22" ht="22.5" customHeight="1">
      <c r="A22" s="4">
        <v>45781.0</v>
      </c>
      <c r="B22" s="5" t="s">
        <v>17</v>
      </c>
      <c r="C22" s="6" t="s">
        <v>133</v>
      </c>
      <c r="D22" s="7">
        <v>-898.0</v>
      </c>
      <c r="E22" s="5" t="s">
        <v>13</v>
      </c>
      <c r="F22" s="17">
        <f t="shared" si="1"/>
        <v>-898</v>
      </c>
      <c r="G22" s="8" t="s">
        <v>14</v>
      </c>
      <c r="H22" s="17"/>
    </row>
    <row r="23" ht="22.5" customHeight="1">
      <c r="A23" s="4">
        <v>45786.0</v>
      </c>
      <c r="B23" s="5" t="s">
        <v>22</v>
      </c>
      <c r="C23" s="6" t="s">
        <v>134</v>
      </c>
      <c r="D23" s="7">
        <v>-1250.0</v>
      </c>
      <c r="E23" s="5" t="s">
        <v>13</v>
      </c>
      <c r="F23" s="17">
        <f t="shared" si="1"/>
        <v>-1250</v>
      </c>
      <c r="G23" s="8" t="s">
        <v>14</v>
      </c>
      <c r="H23" s="8" t="s">
        <v>134</v>
      </c>
    </row>
    <row r="24" ht="22.5" customHeight="1">
      <c r="A24" s="4">
        <v>45787.0</v>
      </c>
      <c r="B24" s="5" t="s">
        <v>22</v>
      </c>
      <c r="C24" s="6" t="s">
        <v>135</v>
      </c>
      <c r="D24" s="7">
        <v>-583.0</v>
      </c>
      <c r="E24" s="5" t="s">
        <v>13</v>
      </c>
      <c r="F24" s="17">
        <f t="shared" si="1"/>
        <v>-583</v>
      </c>
      <c r="G24" s="8" t="s">
        <v>14</v>
      </c>
      <c r="H24" s="8" t="s">
        <v>136</v>
      </c>
    </row>
    <row r="25" ht="22.5" customHeight="1">
      <c r="A25" s="4">
        <v>45787.0</v>
      </c>
      <c r="B25" s="5" t="s">
        <v>22</v>
      </c>
      <c r="C25" s="6" t="s">
        <v>76</v>
      </c>
      <c r="D25" s="7">
        <v>-218.0</v>
      </c>
      <c r="E25" s="5" t="s">
        <v>13</v>
      </c>
      <c r="F25" s="17">
        <f t="shared" si="1"/>
        <v>-218</v>
      </c>
      <c r="G25" s="8" t="s">
        <v>14</v>
      </c>
      <c r="H25" s="17"/>
    </row>
    <row r="26" ht="22.5" customHeight="1">
      <c r="A26" s="4">
        <v>45788.0</v>
      </c>
      <c r="B26" s="5" t="s">
        <v>58</v>
      </c>
      <c r="C26" s="6" t="s">
        <v>19</v>
      </c>
      <c r="D26" s="7">
        <v>-3014.0</v>
      </c>
      <c r="E26" s="5" t="s">
        <v>13</v>
      </c>
      <c r="F26" s="17">
        <f t="shared" si="1"/>
        <v>-3014</v>
      </c>
      <c r="G26" s="8" t="s">
        <v>14</v>
      </c>
      <c r="H26" s="17"/>
    </row>
    <row r="27" ht="22.5" customHeight="1">
      <c r="A27" s="4">
        <v>45789.0</v>
      </c>
      <c r="B27" s="5" t="s">
        <v>17</v>
      </c>
      <c r="C27" s="6" t="s">
        <v>20</v>
      </c>
      <c r="D27" s="7">
        <v>-660.0</v>
      </c>
      <c r="E27" s="5" t="s">
        <v>13</v>
      </c>
      <c r="F27" s="17">
        <f t="shared" si="1"/>
        <v>-660</v>
      </c>
      <c r="G27" s="8" t="s">
        <v>14</v>
      </c>
      <c r="H27" s="17"/>
    </row>
    <row r="28" ht="22.5" customHeight="1">
      <c r="A28" s="4">
        <v>45789.0</v>
      </c>
      <c r="B28" s="5" t="s">
        <v>22</v>
      </c>
      <c r="C28" s="6" t="s">
        <v>131</v>
      </c>
      <c r="D28" s="7">
        <v>-687.0</v>
      </c>
      <c r="E28" s="5" t="s">
        <v>13</v>
      </c>
      <c r="F28" s="17">
        <f t="shared" si="1"/>
        <v>-687</v>
      </c>
      <c r="G28" s="8" t="s">
        <v>14</v>
      </c>
      <c r="H28" s="17"/>
    </row>
    <row r="29" ht="22.5" customHeight="1">
      <c r="A29" s="4">
        <v>45789.0</v>
      </c>
      <c r="B29" s="5" t="s">
        <v>17</v>
      </c>
      <c r="C29" s="6" t="s">
        <v>137</v>
      </c>
      <c r="D29" s="7">
        <v>-75.0</v>
      </c>
      <c r="E29" s="5" t="s">
        <v>13</v>
      </c>
      <c r="F29" s="17">
        <f t="shared" si="1"/>
        <v>-75</v>
      </c>
      <c r="G29" s="8" t="s">
        <v>14</v>
      </c>
      <c r="H29" s="17"/>
    </row>
    <row r="30" ht="22.5" customHeight="1">
      <c r="A30" s="4">
        <v>45793.0</v>
      </c>
      <c r="B30" s="5" t="s">
        <v>50</v>
      </c>
      <c r="C30" s="6" t="s">
        <v>138</v>
      </c>
      <c r="D30" s="7">
        <v>-5059.0</v>
      </c>
      <c r="E30" s="5" t="s">
        <v>13</v>
      </c>
      <c r="F30" s="17">
        <f t="shared" si="1"/>
        <v>-5059</v>
      </c>
      <c r="G30" s="8" t="s">
        <v>14</v>
      </c>
      <c r="H30" s="17"/>
    </row>
    <row r="31" ht="22.5" customHeight="1">
      <c r="A31" s="4">
        <v>45793.0</v>
      </c>
      <c r="B31" s="5" t="s">
        <v>22</v>
      </c>
      <c r="C31" s="6" t="s">
        <v>27</v>
      </c>
      <c r="D31" s="7">
        <v>-218.0</v>
      </c>
      <c r="E31" s="5" t="s">
        <v>13</v>
      </c>
      <c r="F31" s="17">
        <f t="shared" si="1"/>
        <v>-218</v>
      </c>
      <c r="G31" s="8" t="s">
        <v>14</v>
      </c>
      <c r="H31" s="17"/>
    </row>
    <row r="32" ht="22.5" customHeight="1">
      <c r="A32" s="4">
        <v>45793.0</v>
      </c>
      <c r="B32" s="5" t="s">
        <v>22</v>
      </c>
      <c r="C32" s="6" t="s">
        <v>139</v>
      </c>
      <c r="D32" s="7">
        <v>-158.0</v>
      </c>
      <c r="E32" s="5" t="s">
        <v>13</v>
      </c>
      <c r="F32" s="17">
        <f t="shared" si="1"/>
        <v>-158</v>
      </c>
      <c r="G32" s="8" t="s">
        <v>14</v>
      </c>
      <c r="H32" s="17"/>
    </row>
    <row r="33" ht="22.5" customHeight="1">
      <c r="A33" s="4">
        <v>45794.0</v>
      </c>
      <c r="B33" s="5" t="s">
        <v>22</v>
      </c>
      <c r="C33" s="6" t="s">
        <v>128</v>
      </c>
      <c r="D33" s="7">
        <v>-123.0</v>
      </c>
      <c r="E33" s="5" t="s">
        <v>13</v>
      </c>
      <c r="F33" s="17">
        <f t="shared" si="1"/>
        <v>-123</v>
      </c>
      <c r="G33" s="8" t="s">
        <v>14</v>
      </c>
      <c r="H33" s="17"/>
    </row>
    <row r="34" ht="22.5" customHeight="1">
      <c r="A34" s="4">
        <v>45794.0</v>
      </c>
      <c r="B34" s="5" t="s">
        <v>22</v>
      </c>
      <c r="C34" s="6" t="s">
        <v>128</v>
      </c>
      <c r="D34" s="7">
        <v>-2239.0</v>
      </c>
      <c r="E34" s="5" t="s">
        <v>13</v>
      </c>
      <c r="F34" s="17">
        <f t="shared" si="1"/>
        <v>-2239</v>
      </c>
      <c r="G34" s="8" t="s">
        <v>14</v>
      </c>
      <c r="H34" s="17"/>
    </row>
    <row r="35" ht="22.5" customHeight="1">
      <c r="A35" s="4">
        <v>45794.0</v>
      </c>
      <c r="B35" s="5" t="s">
        <v>22</v>
      </c>
      <c r="C35" s="6" t="s">
        <v>44</v>
      </c>
      <c r="D35" s="7">
        <v>-145.0</v>
      </c>
      <c r="E35" s="5" t="s">
        <v>13</v>
      </c>
      <c r="F35" s="17">
        <f t="shared" si="1"/>
        <v>-145</v>
      </c>
      <c r="G35" s="8" t="s">
        <v>14</v>
      </c>
      <c r="H35" s="17"/>
    </row>
    <row r="36" ht="22.5" customHeight="1">
      <c r="A36" s="4">
        <v>45795.0</v>
      </c>
      <c r="B36" s="5" t="s">
        <v>22</v>
      </c>
      <c r="C36" s="6" t="s">
        <v>44</v>
      </c>
      <c r="D36" s="7">
        <v>-55.0</v>
      </c>
      <c r="E36" s="5" t="s">
        <v>13</v>
      </c>
      <c r="F36" s="17">
        <f t="shared" si="1"/>
        <v>-55</v>
      </c>
      <c r="G36" s="8" t="s">
        <v>14</v>
      </c>
      <c r="H36" s="17"/>
    </row>
    <row r="37" ht="22.5" customHeight="1">
      <c r="A37" s="4">
        <v>45795.0</v>
      </c>
      <c r="B37" s="5" t="s">
        <v>30</v>
      </c>
      <c r="C37" s="6" t="s">
        <v>31</v>
      </c>
      <c r="D37" s="7">
        <v>-54.0</v>
      </c>
      <c r="E37" s="5" t="s">
        <v>13</v>
      </c>
      <c r="F37" s="17">
        <f t="shared" si="1"/>
        <v>-54</v>
      </c>
      <c r="G37" s="8" t="s">
        <v>14</v>
      </c>
      <c r="H37" s="17"/>
    </row>
    <row r="38" ht="22.5" customHeight="1">
      <c r="A38" s="4">
        <v>45795.0</v>
      </c>
      <c r="B38" s="5" t="s">
        <v>22</v>
      </c>
      <c r="C38" s="6" t="s">
        <v>24</v>
      </c>
      <c r="D38" s="7">
        <v>-357.0</v>
      </c>
      <c r="E38" s="5" t="s">
        <v>13</v>
      </c>
      <c r="F38" s="17">
        <f t="shared" si="1"/>
        <v>-357</v>
      </c>
      <c r="G38" s="8" t="s">
        <v>14</v>
      </c>
      <c r="H38" s="17"/>
    </row>
    <row r="39" ht="22.5" customHeight="1">
      <c r="A39" s="4">
        <v>45795.0</v>
      </c>
      <c r="B39" s="5" t="s">
        <v>22</v>
      </c>
      <c r="C39" s="6" t="s">
        <v>140</v>
      </c>
      <c r="D39" s="7">
        <v>-461.0</v>
      </c>
      <c r="E39" s="5" t="s">
        <v>13</v>
      </c>
      <c r="F39" s="17">
        <f t="shared" si="1"/>
        <v>-461</v>
      </c>
      <c r="G39" s="8" t="s">
        <v>14</v>
      </c>
      <c r="H39" s="17"/>
    </row>
    <row r="40" ht="22.5" customHeight="1">
      <c r="A40" s="4">
        <v>45795.0</v>
      </c>
      <c r="B40" s="5" t="s">
        <v>22</v>
      </c>
      <c r="C40" s="6" t="s">
        <v>44</v>
      </c>
      <c r="D40" s="7">
        <v>-145.0</v>
      </c>
      <c r="E40" s="5" t="s">
        <v>13</v>
      </c>
      <c r="F40" s="17">
        <f t="shared" si="1"/>
        <v>-145</v>
      </c>
      <c r="G40" s="8" t="s">
        <v>14</v>
      </c>
      <c r="H40" s="17"/>
    </row>
    <row r="41" ht="22.5" customHeight="1">
      <c r="A41" s="4">
        <v>45796.0</v>
      </c>
      <c r="B41" s="5" t="s">
        <v>22</v>
      </c>
      <c r="C41" s="6" t="s">
        <v>141</v>
      </c>
      <c r="D41" s="7">
        <v>-185.0</v>
      </c>
      <c r="E41" s="5" t="s">
        <v>13</v>
      </c>
      <c r="F41" s="17">
        <f t="shared" si="1"/>
        <v>-185</v>
      </c>
      <c r="G41" s="8" t="s">
        <v>14</v>
      </c>
      <c r="H41" s="17"/>
    </row>
    <row r="42" ht="22.5" customHeight="1">
      <c r="A42" s="4">
        <v>45796.0</v>
      </c>
      <c r="B42" s="5" t="s">
        <v>22</v>
      </c>
      <c r="C42" s="6" t="s">
        <v>24</v>
      </c>
      <c r="D42" s="7">
        <v>-34.0</v>
      </c>
      <c r="E42" s="5" t="s">
        <v>13</v>
      </c>
      <c r="F42" s="17">
        <f t="shared" si="1"/>
        <v>-34</v>
      </c>
      <c r="G42" s="8" t="s">
        <v>14</v>
      </c>
      <c r="H42" s="17"/>
    </row>
    <row r="43" ht="22.5" customHeight="1">
      <c r="A43" s="4">
        <v>45796.0</v>
      </c>
      <c r="B43" s="5" t="s">
        <v>22</v>
      </c>
      <c r="C43" s="6" t="s">
        <v>44</v>
      </c>
      <c r="D43" s="7">
        <v>-10.0</v>
      </c>
      <c r="E43" s="5" t="s">
        <v>13</v>
      </c>
      <c r="F43" s="17">
        <f t="shared" si="1"/>
        <v>-10</v>
      </c>
      <c r="G43" s="8" t="s">
        <v>14</v>
      </c>
      <c r="H43" s="17"/>
    </row>
    <row r="44" ht="22.5" customHeight="1">
      <c r="A44" s="4">
        <v>45796.0</v>
      </c>
      <c r="B44" s="5" t="s">
        <v>17</v>
      </c>
      <c r="C44" s="6" t="s">
        <v>142</v>
      </c>
      <c r="D44" s="7">
        <v>-124.0</v>
      </c>
      <c r="E44" s="5" t="s">
        <v>13</v>
      </c>
      <c r="F44" s="17">
        <f t="shared" si="1"/>
        <v>-124</v>
      </c>
      <c r="G44" s="8" t="s">
        <v>14</v>
      </c>
      <c r="H44" s="17"/>
    </row>
    <row r="45" ht="22.5" customHeight="1">
      <c r="A45" s="4">
        <v>45796.0</v>
      </c>
      <c r="B45" s="5" t="s">
        <v>22</v>
      </c>
      <c r="C45" s="6" t="s">
        <v>143</v>
      </c>
      <c r="D45" s="7">
        <v>-185.0</v>
      </c>
      <c r="E45" s="5" t="s">
        <v>13</v>
      </c>
      <c r="F45" s="17">
        <f t="shared" si="1"/>
        <v>-185</v>
      </c>
      <c r="G45" s="8" t="s">
        <v>14</v>
      </c>
      <c r="H45" s="17"/>
    </row>
    <row r="46" ht="22.5" customHeight="1">
      <c r="A46" s="4">
        <v>45797.0</v>
      </c>
      <c r="B46" s="5" t="s">
        <v>22</v>
      </c>
      <c r="C46" s="6" t="s">
        <v>144</v>
      </c>
      <c r="D46" s="7">
        <v>-138.0</v>
      </c>
      <c r="E46" s="5" t="s">
        <v>13</v>
      </c>
      <c r="F46" s="17">
        <f t="shared" si="1"/>
        <v>-138</v>
      </c>
      <c r="G46" s="8" t="s">
        <v>14</v>
      </c>
      <c r="H46" s="17"/>
    </row>
    <row r="47" ht="22.5" customHeight="1">
      <c r="A47" s="4">
        <v>45797.0</v>
      </c>
      <c r="B47" s="5" t="s">
        <v>22</v>
      </c>
      <c r="C47" s="6" t="s">
        <v>66</v>
      </c>
      <c r="D47" s="7">
        <v>-170.0</v>
      </c>
      <c r="E47" s="5" t="s">
        <v>13</v>
      </c>
      <c r="F47" s="17">
        <f t="shared" si="1"/>
        <v>-170</v>
      </c>
      <c r="G47" s="8" t="s">
        <v>14</v>
      </c>
      <c r="H47" s="17"/>
    </row>
    <row r="48" ht="22.5" customHeight="1">
      <c r="A48" s="4">
        <v>45797.0</v>
      </c>
      <c r="B48" s="5" t="s">
        <v>50</v>
      </c>
      <c r="C48" s="6" t="s">
        <v>145</v>
      </c>
      <c r="D48" s="7">
        <v>-100.0</v>
      </c>
      <c r="E48" s="5" t="s">
        <v>13</v>
      </c>
      <c r="F48" s="17">
        <f t="shared" si="1"/>
        <v>-100</v>
      </c>
      <c r="G48" s="8" t="s">
        <v>14</v>
      </c>
      <c r="H48" s="17"/>
    </row>
    <row r="49" ht="22.5" customHeight="1">
      <c r="A49" s="4">
        <v>45798.0</v>
      </c>
      <c r="B49" s="5" t="s">
        <v>22</v>
      </c>
      <c r="C49" s="6" t="s">
        <v>37</v>
      </c>
      <c r="D49" s="7">
        <v>-166.0</v>
      </c>
      <c r="E49" s="5" t="s">
        <v>13</v>
      </c>
      <c r="F49" s="17">
        <f t="shared" si="1"/>
        <v>-166</v>
      </c>
      <c r="G49" s="8" t="s">
        <v>14</v>
      </c>
      <c r="H49" s="17"/>
    </row>
    <row r="50" ht="22.5" customHeight="1">
      <c r="A50" s="4">
        <v>45798.0</v>
      </c>
      <c r="B50" s="5" t="s">
        <v>22</v>
      </c>
      <c r="C50" s="6" t="s">
        <v>146</v>
      </c>
      <c r="D50" s="7">
        <v>-1441.0</v>
      </c>
      <c r="E50" s="5" t="s">
        <v>13</v>
      </c>
      <c r="F50" s="17">
        <f t="shared" si="1"/>
        <v>-1441</v>
      </c>
      <c r="G50" s="8" t="s">
        <v>14</v>
      </c>
      <c r="H50" s="17"/>
    </row>
    <row r="51" ht="22.5" customHeight="1">
      <c r="A51" s="4">
        <v>45798.0</v>
      </c>
      <c r="B51" s="5" t="s">
        <v>22</v>
      </c>
      <c r="C51" s="27">
        <v>45849.0</v>
      </c>
      <c r="D51" s="7">
        <v>-164.0</v>
      </c>
      <c r="E51" s="5" t="s">
        <v>13</v>
      </c>
      <c r="F51" s="17">
        <f t="shared" si="1"/>
        <v>-164</v>
      </c>
      <c r="G51" s="8" t="s">
        <v>14</v>
      </c>
      <c r="H51" s="17"/>
    </row>
    <row r="52" ht="22.5" customHeight="1">
      <c r="A52" s="4">
        <v>45798.0</v>
      </c>
      <c r="B52" s="5" t="s">
        <v>30</v>
      </c>
      <c r="C52" s="1" t="s">
        <v>31</v>
      </c>
      <c r="D52" s="7">
        <v>-84.0</v>
      </c>
      <c r="E52" s="5" t="s">
        <v>13</v>
      </c>
      <c r="F52" s="17">
        <f t="shared" si="1"/>
        <v>-84</v>
      </c>
      <c r="G52" s="8" t="s">
        <v>14</v>
      </c>
      <c r="H52" s="17"/>
    </row>
    <row r="53" ht="22.5" customHeight="1">
      <c r="A53" s="4">
        <v>45799.0</v>
      </c>
      <c r="B53" s="5" t="s">
        <v>22</v>
      </c>
      <c r="C53" s="1" t="s">
        <v>147</v>
      </c>
      <c r="D53" s="7">
        <v>-70.0</v>
      </c>
      <c r="E53" s="5" t="s">
        <v>13</v>
      </c>
      <c r="F53" s="17">
        <f t="shared" si="1"/>
        <v>-70</v>
      </c>
      <c r="G53" s="8" t="s">
        <v>14</v>
      </c>
      <c r="H53" s="17"/>
    </row>
    <row r="54" ht="22.5" customHeight="1">
      <c r="A54" s="4">
        <v>45799.0</v>
      </c>
      <c r="B54" s="5" t="s">
        <v>22</v>
      </c>
      <c r="C54" s="27">
        <v>45849.0</v>
      </c>
      <c r="D54" s="7">
        <v>-197.0</v>
      </c>
      <c r="E54" s="5" t="s">
        <v>13</v>
      </c>
      <c r="F54" s="17">
        <f t="shared" si="1"/>
        <v>-197</v>
      </c>
      <c r="G54" s="8" t="s">
        <v>14</v>
      </c>
      <c r="H54" s="17"/>
    </row>
    <row r="55" ht="22.5" customHeight="1">
      <c r="A55" s="4">
        <v>45799.0</v>
      </c>
      <c r="B55" s="5" t="s">
        <v>30</v>
      </c>
      <c r="C55" s="1" t="s">
        <v>31</v>
      </c>
      <c r="D55" s="7">
        <v>-36.0</v>
      </c>
      <c r="E55" s="5" t="s">
        <v>13</v>
      </c>
      <c r="F55" s="17">
        <f t="shared" si="1"/>
        <v>-36</v>
      </c>
      <c r="G55" s="8" t="s">
        <v>14</v>
      </c>
      <c r="H55" s="17"/>
    </row>
    <row r="56" ht="22.5" customHeight="1">
      <c r="A56" s="4">
        <v>45800.0</v>
      </c>
      <c r="B56" s="5" t="s">
        <v>22</v>
      </c>
      <c r="C56" s="6" t="s">
        <v>37</v>
      </c>
      <c r="D56" s="7">
        <v>-339.0</v>
      </c>
      <c r="E56" s="5" t="s">
        <v>13</v>
      </c>
      <c r="F56" s="17">
        <f t="shared" si="1"/>
        <v>-339</v>
      </c>
      <c r="G56" s="8" t="s">
        <v>14</v>
      </c>
      <c r="H56" s="17"/>
    </row>
    <row r="57" ht="22.5" customHeight="1">
      <c r="A57" s="4">
        <v>45800.0</v>
      </c>
      <c r="B57" s="5" t="s">
        <v>17</v>
      </c>
      <c r="C57" s="6" t="s">
        <v>148</v>
      </c>
      <c r="D57" s="7">
        <v>-998.0</v>
      </c>
      <c r="E57" s="5" t="s">
        <v>13</v>
      </c>
      <c r="F57" s="17">
        <f t="shared" si="1"/>
        <v>-998</v>
      </c>
      <c r="G57" s="8" t="s">
        <v>14</v>
      </c>
      <c r="H57" s="17"/>
    </row>
    <row r="58" ht="22.5" customHeight="1">
      <c r="A58" s="4">
        <v>45800.0</v>
      </c>
      <c r="B58" s="5" t="s">
        <v>22</v>
      </c>
      <c r="C58" s="6" t="s">
        <v>149</v>
      </c>
      <c r="D58" s="7">
        <v>-595.0</v>
      </c>
      <c r="E58" s="5" t="s">
        <v>13</v>
      </c>
      <c r="F58" s="17">
        <f t="shared" si="1"/>
        <v>-595</v>
      </c>
      <c r="G58" s="8" t="s">
        <v>14</v>
      </c>
      <c r="H58" s="17"/>
    </row>
    <row r="59" ht="22.5" customHeight="1">
      <c r="A59" s="4">
        <v>45800.0</v>
      </c>
      <c r="B59" s="5" t="s">
        <v>22</v>
      </c>
      <c r="C59" s="6" t="s">
        <v>66</v>
      </c>
      <c r="D59" s="7">
        <v>-290.0</v>
      </c>
      <c r="E59" s="5" t="s">
        <v>13</v>
      </c>
      <c r="F59" s="17">
        <f t="shared" si="1"/>
        <v>-290</v>
      </c>
      <c r="G59" s="8" t="s">
        <v>14</v>
      </c>
      <c r="H59" s="17"/>
    </row>
    <row r="60" ht="22.5" customHeight="1">
      <c r="A60" s="4">
        <v>45800.0</v>
      </c>
      <c r="B60" s="5" t="s">
        <v>22</v>
      </c>
      <c r="C60" s="1" t="s">
        <v>31</v>
      </c>
      <c r="D60" s="7">
        <v>-60.0</v>
      </c>
      <c r="E60" s="5" t="s">
        <v>13</v>
      </c>
      <c r="F60" s="17">
        <f t="shared" si="1"/>
        <v>-60</v>
      </c>
      <c r="G60" s="8" t="s">
        <v>14</v>
      </c>
      <c r="H60" s="17"/>
    </row>
    <row r="61" ht="22.5" customHeight="1">
      <c r="A61" s="4">
        <v>45801.0</v>
      </c>
      <c r="B61" s="5" t="s">
        <v>17</v>
      </c>
      <c r="C61" s="6" t="s">
        <v>150</v>
      </c>
      <c r="D61" s="7">
        <v>-498.0</v>
      </c>
      <c r="E61" s="5" t="s">
        <v>13</v>
      </c>
      <c r="F61" s="17">
        <f t="shared" si="1"/>
        <v>-498</v>
      </c>
      <c r="G61" s="8" t="s">
        <v>14</v>
      </c>
      <c r="H61" s="17"/>
    </row>
    <row r="62" ht="22.5" customHeight="1">
      <c r="A62" s="4">
        <v>45801.0</v>
      </c>
      <c r="B62" s="5" t="s">
        <v>22</v>
      </c>
      <c r="C62" s="6" t="s">
        <v>29</v>
      </c>
      <c r="D62" s="7">
        <v>-172.0</v>
      </c>
      <c r="E62" s="5" t="s">
        <v>13</v>
      </c>
      <c r="F62" s="17">
        <f t="shared" si="1"/>
        <v>-172</v>
      </c>
      <c r="G62" s="8" t="s">
        <v>14</v>
      </c>
      <c r="H62" s="28"/>
    </row>
    <row r="63" ht="22.5" customHeight="1">
      <c r="A63" s="4">
        <v>45801.0</v>
      </c>
      <c r="B63" s="5" t="s">
        <v>22</v>
      </c>
      <c r="C63" s="6" t="s">
        <v>24</v>
      </c>
      <c r="D63" s="7">
        <v>-992.0</v>
      </c>
      <c r="E63" s="5" t="s">
        <v>13</v>
      </c>
      <c r="F63" s="17">
        <f t="shared" si="1"/>
        <v>-992</v>
      </c>
      <c r="G63" s="8" t="s">
        <v>14</v>
      </c>
      <c r="H63" s="28"/>
    </row>
    <row r="64" ht="22.5" customHeight="1">
      <c r="A64" s="4">
        <v>45801.0</v>
      </c>
      <c r="B64" s="5" t="s">
        <v>30</v>
      </c>
      <c r="C64" s="6" t="s">
        <v>31</v>
      </c>
      <c r="D64" s="7">
        <v>-15.0</v>
      </c>
      <c r="E64" s="5" t="s">
        <v>13</v>
      </c>
      <c r="F64" s="17">
        <f t="shared" si="1"/>
        <v>-15</v>
      </c>
      <c r="G64" s="8" t="s">
        <v>14</v>
      </c>
      <c r="H64" s="28"/>
      <c r="N64" s="29" t="s">
        <v>151</v>
      </c>
    </row>
    <row r="65" ht="22.5" customHeight="1">
      <c r="A65" s="4">
        <v>45801.0</v>
      </c>
      <c r="B65" s="5" t="s">
        <v>22</v>
      </c>
      <c r="C65" s="6" t="s">
        <v>29</v>
      </c>
      <c r="D65" s="7">
        <v>-4049.0</v>
      </c>
      <c r="E65" s="5" t="s">
        <v>13</v>
      </c>
      <c r="F65" s="17">
        <f t="shared" si="1"/>
        <v>-4049</v>
      </c>
      <c r="G65" s="8" t="s">
        <v>14</v>
      </c>
      <c r="H65" s="28"/>
    </row>
    <row r="66" ht="22.5" customHeight="1">
      <c r="A66" s="4">
        <v>45802.0</v>
      </c>
      <c r="B66" s="5" t="s">
        <v>22</v>
      </c>
      <c r="C66" s="6" t="s">
        <v>24</v>
      </c>
      <c r="D66" s="7">
        <v>-615.0</v>
      </c>
      <c r="E66" s="5" t="s">
        <v>13</v>
      </c>
      <c r="F66" s="17">
        <f t="shared" si="1"/>
        <v>-615</v>
      </c>
      <c r="G66" s="8" t="s">
        <v>14</v>
      </c>
      <c r="H66" s="28"/>
    </row>
    <row r="67" ht="22.5" customHeight="1">
      <c r="A67" s="4">
        <v>45802.0</v>
      </c>
      <c r="B67" s="5" t="s">
        <v>22</v>
      </c>
      <c r="C67" s="6" t="s">
        <v>27</v>
      </c>
      <c r="D67" s="7">
        <v>-299.0</v>
      </c>
      <c r="E67" s="5" t="s">
        <v>13</v>
      </c>
      <c r="F67" s="17">
        <f t="shared" si="1"/>
        <v>-299</v>
      </c>
      <c r="G67" s="8" t="s">
        <v>14</v>
      </c>
      <c r="H67" s="28"/>
    </row>
    <row r="68" ht="22.5" customHeight="1">
      <c r="A68" s="4">
        <v>45802.0</v>
      </c>
      <c r="B68" s="5" t="s">
        <v>22</v>
      </c>
      <c r="C68" s="6" t="s">
        <v>76</v>
      </c>
      <c r="D68" s="7">
        <v>-107.0</v>
      </c>
      <c r="E68" s="5" t="s">
        <v>13</v>
      </c>
      <c r="F68" s="17">
        <f t="shared" si="1"/>
        <v>-107</v>
      </c>
      <c r="G68" s="8" t="s">
        <v>14</v>
      </c>
      <c r="H68" s="28"/>
    </row>
    <row r="69" ht="22.5" customHeight="1">
      <c r="A69" s="4">
        <v>45803.0</v>
      </c>
      <c r="B69" s="5" t="s">
        <v>22</v>
      </c>
      <c r="C69" s="6" t="s">
        <v>76</v>
      </c>
      <c r="D69" s="7">
        <v>-127.0</v>
      </c>
      <c r="E69" s="5" t="s">
        <v>13</v>
      </c>
      <c r="F69" s="17">
        <f t="shared" si="1"/>
        <v>-127</v>
      </c>
      <c r="G69" s="8" t="s">
        <v>14</v>
      </c>
      <c r="H69" s="28"/>
    </row>
    <row r="70" ht="22.5" customHeight="1">
      <c r="A70" s="4">
        <v>45804.0</v>
      </c>
      <c r="B70" s="5" t="s">
        <v>22</v>
      </c>
      <c r="C70" s="6" t="s">
        <v>152</v>
      </c>
      <c r="D70" s="7">
        <v>-440.0</v>
      </c>
      <c r="E70" s="5" t="s">
        <v>13</v>
      </c>
      <c r="F70" s="30">
        <f t="shared" si="1"/>
        <v>-440</v>
      </c>
      <c r="G70" s="8" t="s">
        <v>14</v>
      </c>
      <c r="H70" s="28"/>
    </row>
    <row r="71" ht="22.5" customHeight="1">
      <c r="A71" s="4">
        <v>45804.0</v>
      </c>
      <c r="B71" s="5" t="s">
        <v>50</v>
      </c>
      <c r="C71" s="6" t="s">
        <v>153</v>
      </c>
      <c r="D71" s="7">
        <v>-61500.0</v>
      </c>
      <c r="E71" s="5" t="s">
        <v>61</v>
      </c>
      <c r="F71" s="17">
        <f>IFERROR(__xludf.DUMMYFUNCTION("D71*GOOGLEFINANCE(""JPYTWD"")"),-12203.47575)</f>
        <v>-12203.47575</v>
      </c>
      <c r="G71" s="8" t="s">
        <v>14</v>
      </c>
      <c r="H71" s="28"/>
    </row>
    <row r="72" ht="22.5" customHeight="1">
      <c r="A72" s="4">
        <v>45804.0</v>
      </c>
      <c r="B72" s="5" t="s">
        <v>50</v>
      </c>
      <c r="C72" s="6" t="s">
        <v>154</v>
      </c>
      <c r="D72" s="7">
        <v>-9466.0</v>
      </c>
      <c r="E72" s="5" t="s">
        <v>13</v>
      </c>
      <c r="F72" s="30">
        <f t="shared" ref="F72:F80" si="2">D72*1</f>
        <v>-9466</v>
      </c>
      <c r="G72" s="8" t="s">
        <v>14</v>
      </c>
      <c r="H72" s="28"/>
    </row>
    <row r="73" ht="22.5" customHeight="1">
      <c r="A73" s="4">
        <v>45805.0</v>
      </c>
      <c r="B73" s="5" t="s">
        <v>22</v>
      </c>
      <c r="C73" s="6" t="s">
        <v>24</v>
      </c>
      <c r="D73" s="7">
        <v>-766.0</v>
      </c>
      <c r="E73" s="5" t="s">
        <v>13</v>
      </c>
      <c r="F73" s="30">
        <f t="shared" si="2"/>
        <v>-766</v>
      </c>
      <c r="G73" s="8" t="s">
        <v>14</v>
      </c>
      <c r="H73" s="28"/>
    </row>
    <row r="74" ht="22.5" customHeight="1">
      <c r="A74" s="4">
        <v>45805.0</v>
      </c>
      <c r="B74" s="5" t="s">
        <v>22</v>
      </c>
      <c r="C74" s="6" t="s">
        <v>76</v>
      </c>
      <c r="D74" s="7">
        <v>-171.0</v>
      </c>
      <c r="E74" s="5" t="s">
        <v>13</v>
      </c>
      <c r="F74" s="17">
        <f t="shared" si="2"/>
        <v>-171</v>
      </c>
      <c r="G74" s="8" t="s">
        <v>14</v>
      </c>
      <c r="H74" s="28"/>
    </row>
    <row r="75" ht="22.5" customHeight="1">
      <c r="A75" s="4">
        <v>45806.0</v>
      </c>
      <c r="B75" s="5" t="s">
        <v>22</v>
      </c>
      <c r="C75" s="6" t="s">
        <v>76</v>
      </c>
      <c r="D75" s="7">
        <v>-69.0</v>
      </c>
      <c r="E75" s="5" t="s">
        <v>13</v>
      </c>
      <c r="F75" s="17">
        <f t="shared" si="2"/>
        <v>-69</v>
      </c>
      <c r="G75" s="8" t="s">
        <v>14</v>
      </c>
      <c r="H75" s="28"/>
    </row>
    <row r="76" ht="22.5" customHeight="1">
      <c r="A76" s="4">
        <v>45807.0</v>
      </c>
      <c r="B76" s="5" t="s">
        <v>22</v>
      </c>
      <c r="C76" s="6" t="s">
        <v>37</v>
      </c>
      <c r="D76" s="7">
        <v>-442.0</v>
      </c>
      <c r="E76" s="5" t="s">
        <v>13</v>
      </c>
      <c r="F76" s="17">
        <f t="shared" si="2"/>
        <v>-442</v>
      </c>
      <c r="G76" s="8" t="s">
        <v>14</v>
      </c>
      <c r="H76" s="28"/>
    </row>
    <row r="77" ht="22.5" customHeight="1">
      <c r="A77" s="4">
        <v>45807.0</v>
      </c>
      <c r="B77" s="5" t="s">
        <v>30</v>
      </c>
      <c r="C77" s="6" t="s">
        <v>31</v>
      </c>
      <c r="D77" s="7">
        <v>-120.0</v>
      </c>
      <c r="E77" s="5" t="s">
        <v>13</v>
      </c>
      <c r="F77" s="17">
        <f t="shared" si="2"/>
        <v>-120</v>
      </c>
      <c r="G77" s="8" t="s">
        <v>14</v>
      </c>
      <c r="H77" s="28"/>
    </row>
    <row r="78" ht="22.5" customHeight="1">
      <c r="A78" s="4">
        <v>45808.0</v>
      </c>
      <c r="B78" s="5" t="s">
        <v>22</v>
      </c>
      <c r="C78" s="6" t="s">
        <v>155</v>
      </c>
      <c r="D78" s="7">
        <v>-256.0</v>
      </c>
      <c r="E78" s="5" t="s">
        <v>13</v>
      </c>
      <c r="F78" s="17">
        <f t="shared" si="2"/>
        <v>-256</v>
      </c>
      <c r="G78" s="8" t="s">
        <v>14</v>
      </c>
      <c r="H78" s="28"/>
    </row>
    <row r="79" ht="22.5" customHeight="1">
      <c r="A79" s="4">
        <v>45808.0</v>
      </c>
      <c r="B79" s="5" t="s">
        <v>22</v>
      </c>
      <c r="C79" s="6" t="s">
        <v>156</v>
      </c>
      <c r="D79" s="7">
        <v>-670.0</v>
      </c>
      <c r="E79" s="5" t="s">
        <v>13</v>
      </c>
      <c r="F79" s="17">
        <f t="shared" si="2"/>
        <v>-670</v>
      </c>
      <c r="G79" s="8" t="s">
        <v>14</v>
      </c>
      <c r="H79" s="28"/>
    </row>
    <row r="80" ht="22.5" customHeight="1">
      <c r="A80" s="4">
        <v>45808.0</v>
      </c>
      <c r="B80" s="5" t="s">
        <v>17</v>
      </c>
      <c r="C80" s="6" t="s">
        <v>17</v>
      </c>
      <c r="D80" s="7">
        <v>-479.0</v>
      </c>
      <c r="E80" s="5" t="s">
        <v>13</v>
      </c>
      <c r="F80" s="17">
        <f t="shared" si="2"/>
        <v>-479</v>
      </c>
      <c r="G80" s="8" t="s">
        <v>14</v>
      </c>
      <c r="H80" s="28"/>
    </row>
    <row r="81" ht="22.5" customHeight="1">
      <c r="A81" s="4">
        <v>45808.0</v>
      </c>
      <c r="B81" s="5" t="s">
        <v>50</v>
      </c>
      <c r="C81" s="6" t="s">
        <v>157</v>
      </c>
      <c r="D81" s="7">
        <v>-62231.0</v>
      </c>
      <c r="E81" s="5" t="s">
        <v>61</v>
      </c>
      <c r="F81" s="17">
        <f>IFERROR(__xludf.DUMMYFUNCTION("D81*GOOGLEFINANCE(""JPYTWD"")"),-12348.528445499998)</f>
        <v>-12348.52845</v>
      </c>
      <c r="G81" s="8" t="s">
        <v>14</v>
      </c>
      <c r="H81" s="28"/>
    </row>
    <row r="82" ht="22.5" customHeight="1">
      <c r="A82" s="10"/>
      <c r="B82" s="31"/>
      <c r="C82" s="15"/>
      <c r="D82" s="32"/>
      <c r="E82" s="31"/>
      <c r="F82" s="26">
        <f>SUM(May[TWD])</f>
        <v>-33323.0042</v>
      </c>
      <c r="G82" s="26"/>
      <c r="H82" s="26"/>
    </row>
  </sheetData>
  <dataValidations>
    <dataValidation type="list" allowBlank="1" sqref="B2:B81">
      <formula1>"Income,Trasportation,Accommdation,Others,Food,Entertainment "</formula1>
    </dataValidation>
    <dataValidation type="list" allowBlank="1" sqref="E2:E81">
      <formula1>"AUD,TWD,Yen"</formula1>
    </dataValidation>
    <dataValidation type="custom" allowBlank="1" showDropDown="1" sqref="A2:A81">
      <formula1>OR(NOT(ISERROR(DATEVALUE(A2))), AND(ISNUMBER(A2), LEFT(CELL("format", A2))="D"))</formula1>
    </dataValidation>
    <dataValidation type="custom" allowBlank="1" showDropDown="1" sqref="D2:D81">
      <formula1>AND(ISNUMBER(D2),(NOT(OR(NOT(ISERROR(DATEVALUE(D2))), AND(ISNUMBER(D2), LEFT(CELL("format", D2))="D")))))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H23"/>
    <hyperlink r:id="rId24" ref="G24"/>
    <hyperlink r:id="rId25" ref="H24"/>
    <hyperlink r:id="rId26" ref="G25"/>
    <hyperlink r:id="rId27" ref="G26"/>
    <hyperlink r:id="rId28" ref="G27"/>
    <hyperlink r:id="rId29" ref="G28"/>
    <hyperlink r:id="rId30" ref="G29"/>
    <hyperlink r:id="rId31" ref="G30"/>
    <hyperlink r:id="rId32" ref="G31"/>
    <hyperlink r:id="rId33" ref="G32"/>
    <hyperlink r:id="rId34" ref="G33"/>
    <hyperlink r:id="rId35" ref="G34"/>
    <hyperlink r:id="rId36" ref="G35"/>
    <hyperlink r:id="rId37" ref="G36"/>
    <hyperlink r:id="rId38" ref="G37"/>
    <hyperlink r:id="rId39" ref="G38"/>
    <hyperlink r:id="rId40" ref="G39"/>
    <hyperlink r:id="rId41" ref="G40"/>
    <hyperlink r:id="rId42" ref="G41"/>
    <hyperlink r:id="rId43" ref="G42"/>
    <hyperlink r:id="rId44" ref="G43"/>
    <hyperlink r:id="rId45" ref="G44"/>
    <hyperlink r:id="rId46" ref="G45"/>
    <hyperlink r:id="rId47" ref="G46"/>
    <hyperlink r:id="rId48" ref="G47"/>
    <hyperlink r:id="rId49" ref="G48"/>
    <hyperlink r:id="rId50" ref="G49"/>
    <hyperlink r:id="rId51" ref="G50"/>
    <hyperlink r:id="rId52" ref="G51"/>
    <hyperlink r:id="rId53" ref="G52"/>
    <hyperlink r:id="rId54" ref="G53"/>
    <hyperlink r:id="rId55" ref="G54"/>
    <hyperlink r:id="rId56" ref="G55"/>
    <hyperlink r:id="rId57" ref="G56"/>
    <hyperlink r:id="rId58" ref="G57"/>
    <hyperlink r:id="rId59" ref="G58"/>
    <hyperlink r:id="rId60" ref="G59"/>
    <hyperlink r:id="rId61" ref="G60"/>
    <hyperlink r:id="rId62" ref="G61"/>
    <hyperlink r:id="rId63" ref="G62"/>
    <hyperlink r:id="rId64" ref="G63"/>
    <hyperlink r:id="rId65" ref="G64"/>
    <hyperlink r:id="rId66" ref="G65"/>
    <hyperlink r:id="rId67" ref="G66"/>
    <hyperlink r:id="rId68" ref="G67"/>
    <hyperlink r:id="rId69" ref="G68"/>
    <hyperlink r:id="rId70" ref="G69"/>
    <hyperlink r:id="rId71" ref="G70"/>
    <hyperlink r:id="rId72" ref="G71"/>
    <hyperlink r:id="rId73" ref="G72"/>
    <hyperlink r:id="rId74" ref="G73"/>
    <hyperlink r:id="rId75" ref="G74"/>
    <hyperlink r:id="rId76" ref="G75"/>
    <hyperlink r:id="rId77" ref="G76"/>
    <hyperlink r:id="rId78" ref="G77"/>
    <hyperlink r:id="rId79" ref="G78"/>
    <hyperlink r:id="rId80" ref="G79"/>
    <hyperlink r:id="rId81" ref="G80"/>
    <hyperlink r:id="rId82" ref="G81"/>
  </hyperlinks>
  <drawing r:id="rId83"/>
  <tableParts count="1">
    <tablePart r:id="rId8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13</v>
      </c>
      <c r="G1" s="2" t="s">
        <v>5</v>
      </c>
      <c r="H1" s="2" t="s">
        <v>118</v>
      </c>
    </row>
    <row r="2" ht="22.5" customHeight="1">
      <c r="A2" s="4">
        <v>45809.0</v>
      </c>
      <c r="B2" s="5" t="s">
        <v>11</v>
      </c>
      <c r="C2" s="6" t="s">
        <v>12</v>
      </c>
      <c r="D2" s="7">
        <v>28000.0</v>
      </c>
      <c r="E2" s="5" t="s">
        <v>13</v>
      </c>
      <c r="F2" s="17">
        <f t="shared" ref="F2:F26" si="1">D2*1</f>
        <v>28000</v>
      </c>
      <c r="G2" s="8" t="s">
        <v>14</v>
      </c>
      <c r="H2" s="17"/>
    </row>
    <row r="3" ht="22.5" customHeight="1">
      <c r="A3" s="4">
        <v>45809.0</v>
      </c>
      <c r="B3" s="5" t="s">
        <v>11</v>
      </c>
      <c r="C3" s="6" t="s">
        <v>15</v>
      </c>
      <c r="D3" s="7">
        <v>22000.0</v>
      </c>
      <c r="E3" s="5" t="s">
        <v>13</v>
      </c>
      <c r="F3" s="17">
        <f t="shared" si="1"/>
        <v>22000</v>
      </c>
      <c r="G3" s="8" t="s">
        <v>16</v>
      </c>
      <c r="H3" s="17"/>
    </row>
    <row r="4" ht="22.5" customHeight="1">
      <c r="A4" s="4">
        <v>45809.0</v>
      </c>
      <c r="B4" s="5" t="s">
        <v>22</v>
      </c>
      <c r="C4" s="6" t="s">
        <v>40</v>
      </c>
      <c r="D4" s="7">
        <v>-491.0</v>
      </c>
      <c r="E4" s="5" t="s">
        <v>13</v>
      </c>
      <c r="F4" s="17">
        <f t="shared" si="1"/>
        <v>-491</v>
      </c>
      <c r="G4" s="8" t="s">
        <v>14</v>
      </c>
      <c r="H4" s="17"/>
    </row>
    <row r="5" ht="22.5" customHeight="1">
      <c r="A5" s="4">
        <v>45809.0</v>
      </c>
      <c r="B5" s="5" t="s">
        <v>22</v>
      </c>
      <c r="C5" s="6" t="s">
        <v>158</v>
      </c>
      <c r="D5" s="7">
        <v>-39.0</v>
      </c>
      <c r="E5" s="5" t="s">
        <v>13</v>
      </c>
      <c r="F5" s="17">
        <f t="shared" si="1"/>
        <v>-39</v>
      </c>
      <c r="G5" s="8" t="s">
        <v>14</v>
      </c>
      <c r="H5" s="17"/>
    </row>
    <row r="6" ht="22.5" customHeight="1">
      <c r="A6" s="4">
        <v>45809.0</v>
      </c>
      <c r="B6" s="5" t="s">
        <v>22</v>
      </c>
      <c r="C6" s="6" t="s">
        <v>76</v>
      </c>
      <c r="D6" s="7">
        <v>-169.0</v>
      </c>
      <c r="E6" s="5" t="s">
        <v>13</v>
      </c>
      <c r="F6" s="17">
        <f t="shared" si="1"/>
        <v>-169</v>
      </c>
      <c r="G6" s="8" t="s">
        <v>14</v>
      </c>
      <c r="H6" s="17"/>
    </row>
    <row r="7" ht="22.5" customHeight="1">
      <c r="A7" s="4">
        <v>45809.0</v>
      </c>
      <c r="B7" s="5" t="s">
        <v>22</v>
      </c>
      <c r="C7" s="6" t="s">
        <v>27</v>
      </c>
      <c r="D7" s="7">
        <v>-248.0</v>
      </c>
      <c r="E7" s="5" t="s">
        <v>13</v>
      </c>
      <c r="F7" s="17">
        <f t="shared" si="1"/>
        <v>-248</v>
      </c>
      <c r="G7" s="8" t="s">
        <v>14</v>
      </c>
      <c r="H7" s="17"/>
    </row>
    <row r="8" ht="22.5" customHeight="1">
      <c r="A8" s="4">
        <v>45809.0</v>
      </c>
      <c r="B8" s="5" t="s">
        <v>58</v>
      </c>
      <c r="C8" s="6" t="s">
        <v>159</v>
      </c>
      <c r="D8" s="7">
        <v>-12000.0</v>
      </c>
      <c r="E8" s="5" t="s">
        <v>13</v>
      </c>
      <c r="F8" s="17">
        <f t="shared" si="1"/>
        <v>-12000</v>
      </c>
      <c r="G8" s="8" t="s">
        <v>14</v>
      </c>
      <c r="H8" s="17"/>
    </row>
    <row r="9" ht="22.5" customHeight="1">
      <c r="A9" s="4">
        <v>45811.0</v>
      </c>
      <c r="B9" s="5" t="s">
        <v>22</v>
      </c>
      <c r="C9" s="6" t="s">
        <v>27</v>
      </c>
      <c r="D9" s="7">
        <v>-227.0</v>
      </c>
      <c r="E9" s="5" t="s">
        <v>13</v>
      </c>
      <c r="F9" s="17">
        <f t="shared" si="1"/>
        <v>-227</v>
      </c>
      <c r="G9" s="8" t="s">
        <v>16</v>
      </c>
      <c r="H9" s="17"/>
    </row>
    <row r="10" ht="22.5" customHeight="1">
      <c r="A10" s="4">
        <v>45811.0</v>
      </c>
      <c r="B10" s="5" t="s">
        <v>17</v>
      </c>
      <c r="C10" s="6" t="s">
        <v>34</v>
      </c>
      <c r="D10" s="7">
        <v>-384.0</v>
      </c>
      <c r="E10" s="5" t="s">
        <v>13</v>
      </c>
      <c r="F10" s="17">
        <f t="shared" si="1"/>
        <v>-384</v>
      </c>
      <c r="G10" s="8" t="s">
        <v>16</v>
      </c>
      <c r="H10" s="17"/>
    </row>
    <row r="11" ht="22.5" customHeight="1">
      <c r="A11" s="4">
        <v>45811.0</v>
      </c>
      <c r="B11" s="5" t="s">
        <v>22</v>
      </c>
      <c r="C11" s="6" t="s">
        <v>27</v>
      </c>
      <c r="D11" s="7">
        <v>-500.0</v>
      </c>
      <c r="E11" s="5" t="s">
        <v>13</v>
      </c>
      <c r="F11" s="17">
        <f t="shared" si="1"/>
        <v>-500</v>
      </c>
      <c r="G11" s="8" t="s">
        <v>14</v>
      </c>
      <c r="H11" s="17"/>
    </row>
    <row r="12" ht="22.5" customHeight="1">
      <c r="A12" s="4">
        <v>45813.0</v>
      </c>
      <c r="B12" s="5" t="s">
        <v>22</v>
      </c>
      <c r="C12" s="6" t="s">
        <v>160</v>
      </c>
      <c r="D12" s="7">
        <v>-38.0</v>
      </c>
      <c r="E12" s="5" t="s">
        <v>13</v>
      </c>
      <c r="F12" s="17">
        <f t="shared" si="1"/>
        <v>-38</v>
      </c>
      <c r="G12" s="8" t="s">
        <v>14</v>
      </c>
      <c r="H12" s="17"/>
    </row>
    <row r="13" ht="22.5" customHeight="1">
      <c r="A13" s="4">
        <v>45813.0</v>
      </c>
      <c r="B13" s="5" t="s">
        <v>22</v>
      </c>
      <c r="C13" s="6" t="s">
        <v>76</v>
      </c>
      <c r="D13" s="7">
        <v>-54.0</v>
      </c>
      <c r="E13" s="5" t="s">
        <v>13</v>
      </c>
      <c r="F13" s="17">
        <f t="shared" si="1"/>
        <v>-54</v>
      </c>
      <c r="G13" s="8" t="s">
        <v>14</v>
      </c>
      <c r="H13" s="17"/>
    </row>
    <row r="14" ht="22.5" customHeight="1">
      <c r="A14" s="4">
        <v>45814.0</v>
      </c>
      <c r="B14" s="5" t="s">
        <v>22</v>
      </c>
      <c r="C14" s="6" t="s">
        <v>161</v>
      </c>
      <c r="D14" s="7">
        <v>-1749.0</v>
      </c>
      <c r="E14" s="5" t="s">
        <v>13</v>
      </c>
      <c r="F14" s="17">
        <f t="shared" si="1"/>
        <v>-1749</v>
      </c>
      <c r="G14" s="8" t="s">
        <v>14</v>
      </c>
      <c r="H14" s="17"/>
    </row>
    <row r="15" ht="22.5" customHeight="1">
      <c r="A15" s="4">
        <v>45814.0</v>
      </c>
      <c r="B15" s="5" t="s">
        <v>30</v>
      </c>
      <c r="C15" s="6" t="s">
        <v>31</v>
      </c>
      <c r="D15" s="7">
        <v>-100.0</v>
      </c>
      <c r="E15" s="5" t="s">
        <v>13</v>
      </c>
      <c r="F15" s="17">
        <f t="shared" si="1"/>
        <v>-100</v>
      </c>
      <c r="G15" s="8" t="s">
        <v>14</v>
      </c>
      <c r="H15" s="17"/>
    </row>
    <row r="16" ht="22.5" customHeight="1">
      <c r="A16" s="4">
        <v>45814.0</v>
      </c>
      <c r="B16" s="5" t="s">
        <v>22</v>
      </c>
      <c r="C16" s="6" t="s">
        <v>162</v>
      </c>
      <c r="D16" s="7">
        <v>-139.0</v>
      </c>
      <c r="E16" s="5" t="s">
        <v>13</v>
      </c>
      <c r="F16" s="17">
        <f t="shared" si="1"/>
        <v>-139</v>
      </c>
      <c r="G16" s="8" t="s">
        <v>14</v>
      </c>
      <c r="H16" s="17"/>
    </row>
    <row r="17" ht="22.5" customHeight="1">
      <c r="A17" s="4">
        <v>45815.0</v>
      </c>
      <c r="B17" s="5" t="s">
        <v>22</v>
      </c>
      <c r="C17" s="6" t="s">
        <v>147</v>
      </c>
      <c r="D17" s="7">
        <v>-30.0</v>
      </c>
      <c r="E17" s="5" t="s">
        <v>13</v>
      </c>
      <c r="F17" s="17">
        <f t="shared" si="1"/>
        <v>-30</v>
      </c>
      <c r="G17" s="8" t="s">
        <v>14</v>
      </c>
      <c r="H17" s="17"/>
    </row>
    <row r="18" ht="22.5" customHeight="1">
      <c r="A18" s="4">
        <v>45815.0</v>
      </c>
      <c r="B18" s="5" t="s">
        <v>22</v>
      </c>
      <c r="C18" s="6" t="s">
        <v>37</v>
      </c>
      <c r="D18" s="7">
        <v>-195.0</v>
      </c>
      <c r="E18" s="5" t="s">
        <v>13</v>
      </c>
      <c r="F18" s="17">
        <f t="shared" si="1"/>
        <v>-195</v>
      </c>
      <c r="G18" s="8" t="s">
        <v>14</v>
      </c>
      <c r="H18" s="17"/>
    </row>
    <row r="19" ht="22.5" customHeight="1">
      <c r="A19" s="4">
        <v>45815.0</v>
      </c>
      <c r="B19" s="5" t="s">
        <v>17</v>
      </c>
      <c r="C19" s="6" t="s">
        <v>163</v>
      </c>
      <c r="D19" s="7">
        <v>-650.0</v>
      </c>
      <c r="E19" s="5" t="s">
        <v>13</v>
      </c>
      <c r="F19" s="17">
        <f t="shared" si="1"/>
        <v>-650</v>
      </c>
      <c r="G19" s="8" t="s">
        <v>14</v>
      </c>
      <c r="H19" s="17"/>
    </row>
    <row r="20" ht="22.5" customHeight="1">
      <c r="A20" s="4">
        <v>45815.0</v>
      </c>
      <c r="B20" s="5" t="s">
        <v>22</v>
      </c>
      <c r="C20" s="6" t="s">
        <v>164</v>
      </c>
      <c r="D20" s="7">
        <v>-70.0</v>
      </c>
      <c r="E20" s="5" t="s">
        <v>13</v>
      </c>
      <c r="F20" s="17">
        <f t="shared" si="1"/>
        <v>-70</v>
      </c>
      <c r="G20" s="8" t="s">
        <v>14</v>
      </c>
      <c r="H20" s="17"/>
    </row>
    <row r="21" ht="22.5" customHeight="1">
      <c r="A21" s="4">
        <v>45816.0</v>
      </c>
      <c r="B21" s="5" t="s">
        <v>22</v>
      </c>
      <c r="C21" s="6" t="s">
        <v>27</v>
      </c>
      <c r="D21" s="7">
        <v>-39.0</v>
      </c>
      <c r="E21" s="5" t="s">
        <v>13</v>
      </c>
      <c r="F21" s="17">
        <f t="shared" si="1"/>
        <v>-39</v>
      </c>
      <c r="G21" s="8" t="s">
        <v>14</v>
      </c>
      <c r="H21" s="17"/>
    </row>
    <row r="22" ht="22.5" customHeight="1">
      <c r="A22" s="4">
        <v>45816.0</v>
      </c>
      <c r="B22" s="5" t="s">
        <v>22</v>
      </c>
      <c r="C22" s="6" t="s">
        <v>165</v>
      </c>
      <c r="D22" s="7">
        <v>-86.0</v>
      </c>
      <c r="E22" s="5" t="s">
        <v>13</v>
      </c>
      <c r="F22" s="17">
        <f t="shared" si="1"/>
        <v>-86</v>
      </c>
      <c r="G22" s="8" t="s">
        <v>14</v>
      </c>
      <c r="H22" s="17"/>
    </row>
    <row r="23" ht="22.5" customHeight="1">
      <c r="A23" s="4">
        <v>45816.0</v>
      </c>
      <c r="B23" s="5" t="s">
        <v>22</v>
      </c>
      <c r="C23" s="6" t="s">
        <v>166</v>
      </c>
      <c r="D23" s="7">
        <v>-99.0</v>
      </c>
      <c r="E23" s="5" t="s">
        <v>13</v>
      </c>
      <c r="F23" s="17">
        <f t="shared" si="1"/>
        <v>-99</v>
      </c>
      <c r="G23" s="8" t="s">
        <v>14</v>
      </c>
      <c r="H23" s="17"/>
    </row>
    <row r="24" ht="22.5" customHeight="1">
      <c r="A24" s="4">
        <v>45817.0</v>
      </c>
      <c r="B24" s="5" t="s">
        <v>22</v>
      </c>
      <c r="C24" s="6" t="s">
        <v>27</v>
      </c>
      <c r="D24" s="7">
        <v>-34.0</v>
      </c>
      <c r="E24" s="5" t="s">
        <v>13</v>
      </c>
      <c r="F24" s="17">
        <f t="shared" si="1"/>
        <v>-34</v>
      </c>
      <c r="G24" s="8" t="s">
        <v>14</v>
      </c>
      <c r="H24" s="17"/>
    </row>
    <row r="25" ht="22.5" customHeight="1">
      <c r="A25" s="4">
        <v>45817.0</v>
      </c>
      <c r="B25" s="5" t="s">
        <v>22</v>
      </c>
      <c r="C25" s="6" t="s">
        <v>76</v>
      </c>
      <c r="D25" s="7">
        <v>-44.0</v>
      </c>
      <c r="E25" s="5" t="s">
        <v>13</v>
      </c>
      <c r="F25" s="17">
        <f t="shared" si="1"/>
        <v>-44</v>
      </c>
      <c r="G25" s="8" t="s">
        <v>14</v>
      </c>
      <c r="H25" s="17"/>
    </row>
    <row r="26" ht="22.5" customHeight="1">
      <c r="A26" s="4">
        <v>45818.0</v>
      </c>
      <c r="B26" s="5" t="s">
        <v>22</v>
      </c>
      <c r="C26" s="6" t="s">
        <v>76</v>
      </c>
      <c r="D26" s="7">
        <v>-30.0</v>
      </c>
      <c r="E26" s="5" t="s">
        <v>13</v>
      </c>
      <c r="F26" s="17">
        <f t="shared" si="1"/>
        <v>-30</v>
      </c>
      <c r="G26" s="8" t="s">
        <v>14</v>
      </c>
      <c r="H26" s="17"/>
    </row>
    <row r="27" ht="22.5" customHeight="1">
      <c r="A27" s="4">
        <v>45818.0</v>
      </c>
      <c r="B27" s="5" t="s">
        <v>50</v>
      </c>
      <c r="C27" s="6" t="s">
        <v>167</v>
      </c>
      <c r="D27" s="7">
        <v>-48000.0</v>
      </c>
      <c r="E27" s="5" t="s">
        <v>61</v>
      </c>
      <c r="F27" s="17">
        <f>IFERROR(__xludf.DUMMYFUNCTION("D27*GOOGLEFINANCE(""JPYTWD"")"),-9524.663999999999)</f>
        <v>-9524.664</v>
      </c>
      <c r="G27" s="8" t="s">
        <v>14</v>
      </c>
      <c r="H27" s="17"/>
    </row>
    <row r="28" ht="22.5" customHeight="1">
      <c r="A28" s="4">
        <v>45818.0</v>
      </c>
      <c r="B28" s="5" t="s">
        <v>22</v>
      </c>
      <c r="C28" s="6" t="s">
        <v>76</v>
      </c>
      <c r="D28" s="7">
        <v>-78.0</v>
      </c>
      <c r="E28" s="5" t="s">
        <v>13</v>
      </c>
      <c r="F28" s="17">
        <f t="shared" ref="F28:F56" si="2">D28*1</f>
        <v>-78</v>
      </c>
      <c r="G28" s="8" t="s">
        <v>14</v>
      </c>
      <c r="H28" s="17"/>
    </row>
    <row r="29" ht="22.5" customHeight="1">
      <c r="A29" s="4">
        <v>45818.0</v>
      </c>
      <c r="B29" s="5" t="s">
        <v>22</v>
      </c>
      <c r="C29" s="6" t="s">
        <v>76</v>
      </c>
      <c r="D29" s="7">
        <v>-99.0</v>
      </c>
      <c r="E29" s="5" t="s">
        <v>13</v>
      </c>
      <c r="F29" s="17">
        <f t="shared" si="2"/>
        <v>-99</v>
      </c>
      <c r="G29" s="8" t="s">
        <v>14</v>
      </c>
      <c r="H29" s="17"/>
    </row>
    <row r="30" ht="22.5" customHeight="1">
      <c r="A30" s="4">
        <v>45818.0</v>
      </c>
      <c r="B30" s="5" t="s">
        <v>17</v>
      </c>
      <c r="C30" s="6" t="s">
        <v>98</v>
      </c>
      <c r="D30" s="7">
        <v>-790.0</v>
      </c>
      <c r="E30" s="5" t="s">
        <v>13</v>
      </c>
      <c r="F30" s="17">
        <f t="shared" si="2"/>
        <v>-790</v>
      </c>
      <c r="G30" s="8" t="s">
        <v>16</v>
      </c>
      <c r="H30" s="17"/>
    </row>
    <row r="31" ht="22.5" customHeight="1">
      <c r="A31" s="4">
        <v>45819.0</v>
      </c>
      <c r="B31" s="5" t="s">
        <v>22</v>
      </c>
      <c r="C31" s="6" t="s">
        <v>76</v>
      </c>
      <c r="D31" s="7">
        <v>-80.0</v>
      </c>
      <c r="E31" s="5" t="s">
        <v>13</v>
      </c>
      <c r="F31" s="17">
        <f t="shared" si="2"/>
        <v>-80</v>
      </c>
      <c r="G31" s="8" t="s">
        <v>14</v>
      </c>
      <c r="H31" s="17"/>
    </row>
    <row r="32" ht="22.5" customHeight="1">
      <c r="A32" s="4">
        <v>45849.0</v>
      </c>
      <c r="B32" s="5" t="s">
        <v>22</v>
      </c>
      <c r="C32" s="6" t="s">
        <v>165</v>
      </c>
      <c r="D32" s="7">
        <v>-143.0</v>
      </c>
      <c r="E32" s="5" t="s">
        <v>13</v>
      </c>
      <c r="F32" s="17">
        <f t="shared" si="2"/>
        <v>-143</v>
      </c>
      <c r="G32" s="8" t="s">
        <v>14</v>
      </c>
      <c r="H32" s="17"/>
    </row>
    <row r="33" ht="22.5" customHeight="1">
      <c r="A33" s="4">
        <v>45819.0</v>
      </c>
      <c r="B33" s="5" t="s">
        <v>30</v>
      </c>
      <c r="C33" s="6" t="s">
        <v>168</v>
      </c>
      <c r="D33" s="7">
        <v>-27.0</v>
      </c>
      <c r="E33" s="5" t="s">
        <v>13</v>
      </c>
      <c r="F33" s="17">
        <f t="shared" si="2"/>
        <v>-27</v>
      </c>
      <c r="G33" s="8" t="s">
        <v>14</v>
      </c>
      <c r="H33" s="17"/>
    </row>
    <row r="34" ht="22.5" customHeight="1">
      <c r="A34" s="4">
        <v>45820.0</v>
      </c>
      <c r="B34" s="5" t="s">
        <v>22</v>
      </c>
      <c r="C34" s="6" t="s">
        <v>76</v>
      </c>
      <c r="D34" s="7">
        <v>-51.0</v>
      </c>
      <c r="E34" s="5" t="s">
        <v>13</v>
      </c>
      <c r="F34" s="17">
        <f t="shared" si="2"/>
        <v>-51</v>
      </c>
      <c r="G34" s="8" t="s">
        <v>14</v>
      </c>
      <c r="H34" s="17"/>
    </row>
    <row r="35" ht="22.5" customHeight="1">
      <c r="A35" s="4">
        <v>45820.0</v>
      </c>
      <c r="B35" s="5" t="s">
        <v>17</v>
      </c>
      <c r="C35" s="6" t="s">
        <v>20</v>
      </c>
      <c r="D35" s="7">
        <v>-660.0</v>
      </c>
      <c r="E35" s="5" t="s">
        <v>13</v>
      </c>
      <c r="F35" s="17">
        <f t="shared" si="2"/>
        <v>-660</v>
      </c>
      <c r="G35" s="8" t="s">
        <v>14</v>
      </c>
      <c r="H35" s="17"/>
    </row>
    <row r="36" ht="22.5" customHeight="1">
      <c r="A36" s="4">
        <v>45820.0</v>
      </c>
      <c r="B36" s="5" t="s">
        <v>22</v>
      </c>
      <c r="C36" s="6" t="s">
        <v>76</v>
      </c>
      <c r="D36" s="7">
        <v>-128.0</v>
      </c>
      <c r="E36" s="5" t="s">
        <v>13</v>
      </c>
      <c r="F36" s="17">
        <f t="shared" si="2"/>
        <v>-128</v>
      </c>
      <c r="G36" s="8" t="s">
        <v>14</v>
      </c>
      <c r="H36" s="17"/>
    </row>
    <row r="37" ht="22.5" customHeight="1">
      <c r="A37" s="4">
        <v>45821.0</v>
      </c>
      <c r="B37" s="5" t="s">
        <v>22</v>
      </c>
      <c r="C37" s="6" t="s">
        <v>165</v>
      </c>
      <c r="D37" s="7">
        <v>-112.0</v>
      </c>
      <c r="E37" s="5" t="s">
        <v>13</v>
      </c>
      <c r="F37" s="17">
        <f t="shared" si="2"/>
        <v>-112</v>
      </c>
      <c r="G37" s="8" t="s">
        <v>14</v>
      </c>
      <c r="H37" s="17"/>
    </row>
    <row r="38" ht="22.5" customHeight="1">
      <c r="A38" s="4">
        <v>45821.0</v>
      </c>
      <c r="B38" s="5" t="s">
        <v>22</v>
      </c>
      <c r="C38" s="6" t="s">
        <v>76</v>
      </c>
      <c r="D38" s="7">
        <v>-61.0</v>
      </c>
      <c r="E38" s="5" t="s">
        <v>13</v>
      </c>
      <c r="F38" s="17">
        <f t="shared" si="2"/>
        <v>-61</v>
      </c>
      <c r="G38" s="8" t="s">
        <v>14</v>
      </c>
      <c r="H38" s="17"/>
    </row>
    <row r="39" ht="22.5" customHeight="1">
      <c r="A39" s="4">
        <v>45821.0</v>
      </c>
      <c r="B39" s="5" t="s">
        <v>22</v>
      </c>
      <c r="C39" s="6" t="s">
        <v>76</v>
      </c>
      <c r="D39" s="7">
        <v>-104.0</v>
      </c>
      <c r="E39" s="5" t="s">
        <v>13</v>
      </c>
      <c r="F39" s="17">
        <f t="shared" si="2"/>
        <v>-104</v>
      </c>
      <c r="G39" s="8" t="s">
        <v>14</v>
      </c>
      <c r="H39" s="17"/>
    </row>
    <row r="40" ht="22.5" customHeight="1">
      <c r="A40" s="4">
        <v>45821.0</v>
      </c>
      <c r="B40" s="5" t="s">
        <v>22</v>
      </c>
      <c r="C40" s="6" t="s">
        <v>76</v>
      </c>
      <c r="D40" s="7">
        <v>-268.0</v>
      </c>
      <c r="E40" s="5" t="s">
        <v>13</v>
      </c>
      <c r="F40" s="17">
        <f t="shared" si="2"/>
        <v>-268</v>
      </c>
      <c r="G40" s="8" t="s">
        <v>14</v>
      </c>
      <c r="H40" s="17"/>
    </row>
    <row r="41" ht="22.5" customHeight="1">
      <c r="A41" s="4">
        <v>45822.0</v>
      </c>
      <c r="B41" s="5" t="s">
        <v>22</v>
      </c>
      <c r="C41" s="6" t="s">
        <v>165</v>
      </c>
      <c r="D41" s="7">
        <v>-68.0</v>
      </c>
      <c r="E41" s="5" t="s">
        <v>13</v>
      </c>
      <c r="F41" s="17">
        <f t="shared" si="2"/>
        <v>-68</v>
      </c>
      <c r="G41" s="8" t="s">
        <v>14</v>
      </c>
      <c r="H41" s="17"/>
    </row>
    <row r="42" ht="22.5" customHeight="1">
      <c r="A42" s="4">
        <v>45822.0</v>
      </c>
      <c r="B42" s="5" t="s">
        <v>22</v>
      </c>
      <c r="C42" s="6" t="s">
        <v>169</v>
      </c>
      <c r="D42" s="7">
        <v>-30.0</v>
      </c>
      <c r="E42" s="5" t="s">
        <v>13</v>
      </c>
      <c r="F42" s="17">
        <f t="shared" si="2"/>
        <v>-30</v>
      </c>
      <c r="G42" s="8" t="s">
        <v>14</v>
      </c>
      <c r="H42" s="17"/>
    </row>
    <row r="43" ht="22.5" customHeight="1">
      <c r="A43" s="4">
        <v>45822.0</v>
      </c>
      <c r="B43" s="5" t="s">
        <v>30</v>
      </c>
      <c r="C43" s="6" t="s">
        <v>31</v>
      </c>
      <c r="D43" s="7">
        <v>-135.0</v>
      </c>
      <c r="E43" s="5" t="s">
        <v>13</v>
      </c>
      <c r="F43" s="17">
        <f t="shared" si="2"/>
        <v>-135</v>
      </c>
      <c r="G43" s="8" t="s">
        <v>14</v>
      </c>
      <c r="H43" s="17"/>
    </row>
    <row r="44" ht="22.5" customHeight="1">
      <c r="A44" s="4">
        <v>45823.0</v>
      </c>
      <c r="B44" s="5" t="s">
        <v>30</v>
      </c>
      <c r="C44" s="6" t="s">
        <v>31</v>
      </c>
      <c r="D44" s="7">
        <v>-20.0</v>
      </c>
      <c r="E44" s="5" t="s">
        <v>13</v>
      </c>
      <c r="F44" s="17">
        <f t="shared" si="2"/>
        <v>-20</v>
      </c>
      <c r="G44" s="8" t="s">
        <v>14</v>
      </c>
      <c r="H44" s="17"/>
    </row>
    <row r="45" ht="22.5" customHeight="1">
      <c r="A45" s="4">
        <v>45823.0</v>
      </c>
      <c r="B45" s="5" t="s">
        <v>22</v>
      </c>
      <c r="C45" s="6" t="s">
        <v>140</v>
      </c>
      <c r="D45" s="7">
        <v>-476.0</v>
      </c>
      <c r="E45" s="5" t="s">
        <v>13</v>
      </c>
      <c r="F45" s="17">
        <f t="shared" si="2"/>
        <v>-476</v>
      </c>
      <c r="G45" s="8" t="s">
        <v>14</v>
      </c>
      <c r="H45" s="17"/>
    </row>
    <row r="46" ht="22.5" customHeight="1">
      <c r="A46" s="4">
        <v>45823.0</v>
      </c>
      <c r="B46" s="5" t="s">
        <v>22</v>
      </c>
      <c r="C46" s="6" t="s">
        <v>158</v>
      </c>
      <c r="D46" s="7">
        <v>-39.0</v>
      </c>
      <c r="E46" s="5" t="s">
        <v>13</v>
      </c>
      <c r="F46" s="17">
        <f t="shared" si="2"/>
        <v>-39</v>
      </c>
      <c r="G46" s="8" t="s">
        <v>14</v>
      </c>
      <c r="H46" s="17"/>
    </row>
    <row r="47" ht="22.5" customHeight="1">
      <c r="A47" s="4">
        <v>45823.0</v>
      </c>
      <c r="B47" s="5" t="s">
        <v>22</v>
      </c>
      <c r="C47" s="6" t="s">
        <v>24</v>
      </c>
      <c r="D47" s="7">
        <v>-521.0</v>
      </c>
      <c r="E47" s="5" t="s">
        <v>13</v>
      </c>
      <c r="F47" s="17">
        <f t="shared" si="2"/>
        <v>-521</v>
      </c>
      <c r="G47" s="8" t="s">
        <v>14</v>
      </c>
      <c r="H47" s="17"/>
    </row>
    <row r="48" ht="22.5" customHeight="1">
      <c r="A48" s="4">
        <v>45823.0</v>
      </c>
      <c r="B48" s="5" t="s">
        <v>22</v>
      </c>
      <c r="C48" s="6" t="s">
        <v>43</v>
      </c>
      <c r="D48" s="7">
        <v>-82.0</v>
      </c>
      <c r="E48" s="5" t="s">
        <v>13</v>
      </c>
      <c r="F48" s="17">
        <f t="shared" si="2"/>
        <v>-82</v>
      </c>
      <c r="G48" s="8" t="s">
        <v>14</v>
      </c>
      <c r="H48" s="17"/>
    </row>
    <row r="49" ht="22.5" customHeight="1">
      <c r="A49" s="4">
        <v>45823.0</v>
      </c>
      <c r="B49" s="5" t="s">
        <v>22</v>
      </c>
      <c r="C49" s="6" t="s">
        <v>76</v>
      </c>
      <c r="D49" s="7">
        <v>-114.0</v>
      </c>
      <c r="E49" s="5" t="s">
        <v>13</v>
      </c>
      <c r="F49" s="17">
        <f t="shared" si="2"/>
        <v>-114</v>
      </c>
      <c r="G49" s="8" t="s">
        <v>14</v>
      </c>
      <c r="H49" s="17"/>
    </row>
    <row r="50" ht="22.5" customHeight="1">
      <c r="A50" s="4">
        <v>45823.0</v>
      </c>
      <c r="B50" s="5" t="s">
        <v>22</v>
      </c>
      <c r="C50" s="6" t="s">
        <v>170</v>
      </c>
      <c r="D50" s="7">
        <v>-82.0</v>
      </c>
      <c r="E50" s="5" t="s">
        <v>13</v>
      </c>
      <c r="F50" s="17">
        <f t="shared" si="2"/>
        <v>-82</v>
      </c>
      <c r="G50" s="8" t="s">
        <v>14</v>
      </c>
      <c r="H50" s="17"/>
    </row>
    <row r="51" ht="22.5" customHeight="1">
      <c r="A51" s="4">
        <v>45824.0</v>
      </c>
      <c r="B51" s="5" t="s">
        <v>22</v>
      </c>
      <c r="C51" s="6" t="s">
        <v>160</v>
      </c>
      <c r="D51" s="7">
        <v>-69.0</v>
      </c>
      <c r="E51" s="5" t="s">
        <v>13</v>
      </c>
      <c r="F51" s="17">
        <f t="shared" si="2"/>
        <v>-69</v>
      </c>
      <c r="G51" s="8" t="s">
        <v>14</v>
      </c>
      <c r="H51" s="17"/>
    </row>
    <row r="52" ht="22.5" customHeight="1">
      <c r="A52" s="4">
        <v>45828.0</v>
      </c>
      <c r="B52" s="5" t="s">
        <v>17</v>
      </c>
      <c r="C52" s="6" t="s">
        <v>171</v>
      </c>
      <c r="D52" s="7">
        <v>-58011.0</v>
      </c>
      <c r="E52" s="5" t="s">
        <v>13</v>
      </c>
      <c r="F52" s="17">
        <f t="shared" si="2"/>
        <v>-58011</v>
      </c>
      <c r="G52" s="8" t="s">
        <v>14</v>
      </c>
      <c r="H52" s="17"/>
    </row>
    <row r="53" ht="22.5" customHeight="1">
      <c r="A53" s="4">
        <v>45829.0</v>
      </c>
      <c r="B53" s="5" t="s">
        <v>22</v>
      </c>
      <c r="C53" s="6" t="s">
        <v>172</v>
      </c>
      <c r="D53" s="7">
        <v>-2299.0</v>
      </c>
      <c r="E53" s="5" t="s">
        <v>13</v>
      </c>
      <c r="F53" s="17">
        <f t="shared" si="2"/>
        <v>-2299</v>
      </c>
      <c r="G53" s="8" t="s">
        <v>14</v>
      </c>
      <c r="H53" s="17"/>
    </row>
    <row r="54" ht="22.5" customHeight="1">
      <c r="A54" s="4">
        <v>45829.0</v>
      </c>
      <c r="B54" s="5" t="s">
        <v>30</v>
      </c>
      <c r="C54" s="6" t="s">
        <v>31</v>
      </c>
      <c r="D54" s="7">
        <v>-300.0</v>
      </c>
      <c r="E54" s="5" t="s">
        <v>13</v>
      </c>
      <c r="F54" s="17">
        <f t="shared" si="2"/>
        <v>-300</v>
      </c>
      <c r="G54" s="8" t="s">
        <v>14</v>
      </c>
      <c r="H54" s="17"/>
    </row>
    <row r="55" ht="22.5" customHeight="1">
      <c r="A55" s="4">
        <v>45829.0</v>
      </c>
      <c r="B55" s="5" t="s">
        <v>22</v>
      </c>
      <c r="C55" s="6" t="s">
        <v>173</v>
      </c>
      <c r="D55" s="7">
        <v>-257.0</v>
      </c>
      <c r="E55" s="5" t="s">
        <v>13</v>
      </c>
      <c r="F55" s="17">
        <f t="shared" si="2"/>
        <v>-257</v>
      </c>
      <c r="G55" s="8" t="s">
        <v>14</v>
      </c>
      <c r="H55" s="17"/>
    </row>
    <row r="56" ht="22.5" customHeight="1">
      <c r="A56" s="4">
        <v>45832.0</v>
      </c>
      <c r="B56" s="5" t="s">
        <v>17</v>
      </c>
      <c r="C56" s="6" t="s">
        <v>133</v>
      </c>
      <c r="D56" s="7">
        <v>-1083.0</v>
      </c>
      <c r="E56" s="5" t="s">
        <v>13</v>
      </c>
      <c r="F56" s="17">
        <f t="shared" si="2"/>
        <v>-1083</v>
      </c>
      <c r="G56" s="8" t="s">
        <v>174</v>
      </c>
      <c r="H56" s="17"/>
    </row>
    <row r="57" ht="22.5" customHeight="1">
      <c r="A57" s="4">
        <v>45833.0</v>
      </c>
      <c r="B57" s="5" t="s">
        <v>50</v>
      </c>
      <c r="C57" s="6" t="s">
        <v>175</v>
      </c>
      <c r="D57" s="7">
        <v>-17630.0</v>
      </c>
      <c r="E57" s="5" t="s">
        <v>61</v>
      </c>
      <c r="F57" s="17">
        <f>IFERROR(__xludf.DUMMYFUNCTION("D57*GOOGLEFINANCE(""CURRENCY:JPYTWD"")"),-3498.329715)</f>
        <v>-3498.329715</v>
      </c>
      <c r="G57" s="8" t="s">
        <v>174</v>
      </c>
      <c r="H57" s="8" t="s">
        <v>176</v>
      </c>
    </row>
    <row r="58" ht="22.5" customHeight="1">
      <c r="A58" s="4">
        <v>45833.0</v>
      </c>
      <c r="B58" s="5" t="s">
        <v>22</v>
      </c>
      <c r="C58" s="6" t="s">
        <v>74</v>
      </c>
      <c r="D58" s="7">
        <v>-3418.0</v>
      </c>
      <c r="E58" s="5" t="s">
        <v>61</v>
      </c>
      <c r="F58" s="17">
        <f>IFERROR(__xludf.DUMMYFUNCTION("D58*GOOGLEFINANCE(""CURRENCY:JPYTWD"")"),-678.2354489999999)</f>
        <v>-678.235449</v>
      </c>
      <c r="G58" s="8" t="s">
        <v>174</v>
      </c>
      <c r="H58" s="8" t="s">
        <v>176</v>
      </c>
    </row>
    <row r="59" ht="22.5" customHeight="1">
      <c r="A59" s="4">
        <v>45833.0</v>
      </c>
      <c r="B59" s="5" t="s">
        <v>22</v>
      </c>
      <c r="C59" s="6" t="s">
        <v>177</v>
      </c>
      <c r="D59" s="7">
        <v>-1500.0</v>
      </c>
      <c r="E59" s="5" t="s">
        <v>61</v>
      </c>
      <c r="F59" s="17">
        <f>IFERROR(__xludf.DUMMYFUNCTION("D59*GOOGLEFINANCE(""CURRENCY:JPYTWD"")"),-297.64574999999996)</f>
        <v>-297.64575</v>
      </c>
      <c r="G59" s="8" t="s">
        <v>174</v>
      </c>
      <c r="H59" s="8" t="s">
        <v>176</v>
      </c>
    </row>
    <row r="60" ht="22.5" customHeight="1">
      <c r="A60" s="4">
        <v>45834.0</v>
      </c>
      <c r="B60" s="5" t="s">
        <v>17</v>
      </c>
      <c r="C60" s="6" t="s">
        <v>178</v>
      </c>
      <c r="D60" s="7">
        <v>-1540.0</v>
      </c>
      <c r="E60" s="5" t="s">
        <v>61</v>
      </c>
      <c r="F60" s="17">
        <f>IFERROR(__xludf.DUMMYFUNCTION("D60*GOOGLEFINANCE(""CURRENCY:JPYTWD"")"),-305.58297)</f>
        <v>-305.58297</v>
      </c>
      <c r="G60" s="8" t="s">
        <v>174</v>
      </c>
      <c r="H60" s="8" t="s">
        <v>176</v>
      </c>
    </row>
    <row r="61" ht="22.5" customHeight="1">
      <c r="A61" s="4">
        <v>45834.0</v>
      </c>
      <c r="B61" s="5" t="s">
        <v>50</v>
      </c>
      <c r="C61" s="6" t="s">
        <v>179</v>
      </c>
      <c r="D61" s="7">
        <v>-9515.0</v>
      </c>
      <c r="E61" s="5" t="s">
        <v>61</v>
      </c>
      <c r="F61" s="17">
        <f>IFERROR(__xludf.DUMMYFUNCTION("D61*GOOGLEFINANCE(""CURRENCY:JPYTWD"")"),-1888.0662074999998)</f>
        <v>-1888.066208</v>
      </c>
      <c r="G61" s="8" t="s">
        <v>174</v>
      </c>
      <c r="H61" s="8" t="s">
        <v>176</v>
      </c>
    </row>
    <row r="62" ht="22.5" customHeight="1">
      <c r="A62" s="4">
        <v>45834.0</v>
      </c>
      <c r="B62" s="5" t="s">
        <v>50</v>
      </c>
      <c r="C62" s="6" t="s">
        <v>180</v>
      </c>
      <c r="D62" s="7">
        <v>-3200.0</v>
      </c>
      <c r="E62" s="5" t="s">
        <v>61</v>
      </c>
      <c r="F62" s="17">
        <f>IFERROR(__xludf.DUMMYFUNCTION("D62*GOOGLEFINANCE(""CURRENCY:JPYTWD"")"),-634.9775999999999)</f>
        <v>-634.9776</v>
      </c>
      <c r="G62" s="8" t="s">
        <v>174</v>
      </c>
      <c r="H62" s="8" t="s">
        <v>176</v>
      </c>
    </row>
    <row r="63" ht="22.5" customHeight="1">
      <c r="A63" s="4">
        <v>45834.0</v>
      </c>
      <c r="B63" s="5" t="s">
        <v>22</v>
      </c>
      <c r="C63" s="6" t="s">
        <v>181</v>
      </c>
      <c r="D63" s="7">
        <v>-8306.0</v>
      </c>
      <c r="E63" s="5" t="s">
        <v>61</v>
      </c>
      <c r="F63" s="17">
        <f>IFERROR(__xludf.DUMMYFUNCTION("D63*GOOGLEFINANCE(""CURRENCY:JPYTWD"")"),-1648.1637329999999)</f>
        <v>-1648.163733</v>
      </c>
      <c r="G63" s="8" t="s">
        <v>174</v>
      </c>
      <c r="H63" s="8" t="s">
        <v>176</v>
      </c>
    </row>
    <row r="64" ht="22.5" customHeight="1">
      <c r="A64" s="4">
        <v>45835.0</v>
      </c>
      <c r="B64" s="5" t="s">
        <v>30</v>
      </c>
      <c r="C64" s="6" t="s">
        <v>182</v>
      </c>
      <c r="D64" s="7">
        <v>-800.0</v>
      </c>
      <c r="E64" s="5" t="s">
        <v>61</v>
      </c>
      <c r="F64" s="17">
        <f>IFERROR(__xludf.DUMMYFUNCTION("D64*GOOGLEFINANCE(""CURRENCY:JPYTWD"")"),-158.74439999999998)</f>
        <v>-158.7444</v>
      </c>
      <c r="G64" s="8" t="s">
        <v>174</v>
      </c>
      <c r="H64" s="8" t="s">
        <v>176</v>
      </c>
    </row>
    <row r="65" ht="22.5" customHeight="1">
      <c r="A65" s="4">
        <v>45835.0</v>
      </c>
      <c r="B65" s="5" t="s">
        <v>30</v>
      </c>
      <c r="C65" s="6" t="s">
        <v>183</v>
      </c>
      <c r="D65" s="7">
        <v>-1000.0</v>
      </c>
      <c r="E65" s="5" t="s">
        <v>61</v>
      </c>
      <c r="F65" s="17">
        <f>IFERROR(__xludf.DUMMYFUNCTION("D65*GOOGLEFINANCE(""CURRENCY:JPYTWD"")"),-198.4305)</f>
        <v>-198.4305</v>
      </c>
      <c r="G65" s="8" t="s">
        <v>14</v>
      </c>
      <c r="H65" s="8" t="s">
        <v>176</v>
      </c>
    </row>
    <row r="66" ht="22.5" customHeight="1">
      <c r="A66" s="4">
        <v>45835.0</v>
      </c>
      <c r="B66" s="5" t="s">
        <v>22</v>
      </c>
      <c r="C66" s="6" t="s">
        <v>40</v>
      </c>
      <c r="D66" s="7">
        <v>-4588.0</v>
      </c>
      <c r="E66" s="5" t="s">
        <v>61</v>
      </c>
      <c r="F66" s="17">
        <f>IFERROR(__xludf.DUMMYFUNCTION("D66*GOOGLEFINANCE(""CURRENCY:JPYTWD"")"),-910.3991339999999)</f>
        <v>-910.399134</v>
      </c>
      <c r="G66" s="8" t="s">
        <v>174</v>
      </c>
      <c r="H66" s="8" t="s">
        <v>176</v>
      </c>
    </row>
    <row r="67" ht="22.5" customHeight="1">
      <c r="A67" s="4">
        <v>45835.0</v>
      </c>
      <c r="B67" s="5" t="s">
        <v>17</v>
      </c>
      <c r="C67" s="6" t="s">
        <v>184</v>
      </c>
      <c r="D67" s="7">
        <v>-16840.0</v>
      </c>
      <c r="E67" s="5" t="s">
        <v>61</v>
      </c>
      <c r="F67" s="17">
        <f>IFERROR(__xludf.DUMMYFUNCTION("D67*GOOGLEFINANCE(""CURRENCY:JPYTWD"")"),-3341.5696199999998)</f>
        <v>-3341.56962</v>
      </c>
      <c r="G67" s="8" t="s">
        <v>174</v>
      </c>
      <c r="H67" s="8" t="s">
        <v>176</v>
      </c>
    </row>
    <row r="68" ht="22.5" customHeight="1">
      <c r="A68" s="4">
        <v>45835.0</v>
      </c>
      <c r="B68" s="5" t="s">
        <v>22</v>
      </c>
      <c r="C68" s="6" t="s">
        <v>185</v>
      </c>
      <c r="D68" s="7">
        <v>-516.0</v>
      </c>
      <c r="E68" s="5" t="s">
        <v>61</v>
      </c>
      <c r="F68" s="17">
        <f>IFERROR(__xludf.DUMMYFUNCTION("D68*GOOGLEFINANCE(""CURRENCY:JPYTWD"")"),-102.390138)</f>
        <v>-102.390138</v>
      </c>
      <c r="G68" s="8" t="s">
        <v>174</v>
      </c>
      <c r="H68" s="8" t="s">
        <v>176</v>
      </c>
    </row>
    <row r="69" ht="22.5" customHeight="1">
      <c r="A69" s="4">
        <v>45835.0</v>
      </c>
      <c r="B69" s="5" t="s">
        <v>17</v>
      </c>
      <c r="C69" s="6" t="s">
        <v>186</v>
      </c>
      <c r="D69" s="7">
        <v>-1724.0</v>
      </c>
      <c r="E69" s="5" t="s">
        <v>61</v>
      </c>
      <c r="F69" s="17">
        <f>IFERROR(__xludf.DUMMYFUNCTION("D69*GOOGLEFINANCE(""CURRENCY:JPYTWD"")"),-342.094182)</f>
        <v>-342.094182</v>
      </c>
      <c r="G69" s="8" t="s">
        <v>174</v>
      </c>
      <c r="H69" s="8" t="s">
        <v>176</v>
      </c>
    </row>
    <row r="70" ht="22.5" customHeight="1">
      <c r="A70" s="4">
        <v>45835.0</v>
      </c>
      <c r="B70" s="5" t="s">
        <v>17</v>
      </c>
      <c r="C70" s="6" t="s">
        <v>186</v>
      </c>
      <c r="D70" s="7">
        <v>-6997.0</v>
      </c>
      <c r="E70" s="5" t="s">
        <v>61</v>
      </c>
      <c r="F70" s="17">
        <f>IFERROR(__xludf.DUMMYFUNCTION("D70*GOOGLEFINANCE(""CURRENCY:JPYTWD"")"),-1388.4182084999998)</f>
        <v>-1388.418209</v>
      </c>
      <c r="G70" s="8" t="s">
        <v>174</v>
      </c>
      <c r="H70" s="8" t="s">
        <v>176</v>
      </c>
    </row>
    <row r="71" ht="22.5" customHeight="1">
      <c r="A71" s="4">
        <v>45836.0</v>
      </c>
      <c r="B71" s="5" t="s">
        <v>17</v>
      </c>
      <c r="C71" s="6" t="s">
        <v>187</v>
      </c>
      <c r="D71" s="7">
        <v>-880.0</v>
      </c>
      <c r="E71" s="5" t="s">
        <v>61</v>
      </c>
      <c r="F71" s="17">
        <f>IFERROR(__xludf.DUMMYFUNCTION("D71*GOOGLEFINANCE(""CURRENCY:JPYTWD"")"),-174.61883999999998)</f>
        <v>-174.61884</v>
      </c>
      <c r="G71" s="8" t="s">
        <v>174</v>
      </c>
      <c r="H71" s="8" t="s">
        <v>176</v>
      </c>
    </row>
    <row r="72" ht="22.5" customHeight="1">
      <c r="A72" s="4">
        <v>45836.0</v>
      </c>
      <c r="B72" s="5" t="s">
        <v>22</v>
      </c>
      <c r="C72" s="6" t="s">
        <v>188</v>
      </c>
      <c r="D72" s="7">
        <v>-3097.0</v>
      </c>
      <c r="E72" s="5" t="s">
        <v>61</v>
      </c>
      <c r="F72" s="17">
        <f>IFERROR(__xludf.DUMMYFUNCTION("D72*GOOGLEFINANCE(""CURRENCY:JPYTWD"")"),-614.5392585)</f>
        <v>-614.5392585</v>
      </c>
      <c r="G72" s="8" t="s">
        <v>174</v>
      </c>
      <c r="H72" s="8" t="s">
        <v>176</v>
      </c>
    </row>
    <row r="73" ht="22.5" customHeight="1">
      <c r="A73" s="4">
        <v>45837.0</v>
      </c>
      <c r="B73" s="5" t="s">
        <v>50</v>
      </c>
      <c r="C73" s="6" t="s">
        <v>189</v>
      </c>
      <c r="D73" s="7">
        <v>-1600.0</v>
      </c>
      <c r="E73" s="5" t="s">
        <v>61</v>
      </c>
      <c r="F73" s="17">
        <f>IFERROR(__xludf.DUMMYFUNCTION("D73*GOOGLEFINANCE(""CURRENCY:JPYTWD"")"),-317.48879999999997)</f>
        <v>-317.4888</v>
      </c>
      <c r="G73" s="8" t="s">
        <v>174</v>
      </c>
      <c r="H73" s="8" t="s">
        <v>176</v>
      </c>
    </row>
    <row r="74" ht="22.5" customHeight="1">
      <c r="A74" s="4">
        <v>45837.0</v>
      </c>
      <c r="B74" s="5" t="s">
        <v>22</v>
      </c>
      <c r="C74" s="6" t="s">
        <v>189</v>
      </c>
      <c r="D74" s="7">
        <v>-2650.0</v>
      </c>
      <c r="E74" s="5" t="s">
        <v>61</v>
      </c>
      <c r="F74" s="17">
        <f>IFERROR(__xludf.DUMMYFUNCTION("D74*GOOGLEFINANCE(""CURRENCY:JPYTWD"")"),-525.840825)</f>
        <v>-525.840825</v>
      </c>
      <c r="G74" s="8" t="s">
        <v>14</v>
      </c>
      <c r="H74" s="8" t="s">
        <v>176</v>
      </c>
    </row>
    <row r="75" ht="22.5" customHeight="1">
      <c r="A75" s="4">
        <v>45837.0</v>
      </c>
      <c r="B75" s="5" t="s">
        <v>22</v>
      </c>
      <c r="C75" s="6" t="s">
        <v>189</v>
      </c>
      <c r="D75" s="7">
        <v>-1000.0</v>
      </c>
      <c r="E75" s="5" t="s">
        <v>61</v>
      </c>
      <c r="F75" s="17">
        <f>IFERROR(__xludf.DUMMYFUNCTION("D75*GOOGLEFINANCE(""CURRENCY:JPYTWD"")"),-198.4305)</f>
        <v>-198.4305</v>
      </c>
      <c r="G75" s="8" t="s">
        <v>14</v>
      </c>
      <c r="H75" s="8" t="s">
        <v>176</v>
      </c>
    </row>
    <row r="76" ht="22.5" customHeight="1">
      <c r="A76" s="4">
        <v>45837.0</v>
      </c>
      <c r="B76" s="5" t="s">
        <v>22</v>
      </c>
      <c r="C76" s="6" t="s">
        <v>189</v>
      </c>
      <c r="D76" s="7">
        <v>-860.0</v>
      </c>
      <c r="E76" s="5" t="s">
        <v>61</v>
      </c>
      <c r="F76" s="17">
        <f>IFERROR(__xludf.DUMMYFUNCTION("D76*GOOGLEFINANCE(""CURRENCY:JPYTWD"")"),-170.65023)</f>
        <v>-170.65023</v>
      </c>
      <c r="G76" s="8" t="s">
        <v>14</v>
      </c>
      <c r="H76" s="8" t="s">
        <v>176</v>
      </c>
    </row>
    <row r="77" ht="22.5" customHeight="1">
      <c r="A77" s="4">
        <v>45838.0</v>
      </c>
      <c r="B77" s="5" t="s">
        <v>22</v>
      </c>
      <c r="C77" s="6" t="s">
        <v>190</v>
      </c>
      <c r="D77" s="7">
        <v>-3590.0</v>
      </c>
      <c r="E77" s="5" t="s">
        <v>61</v>
      </c>
      <c r="F77" s="17">
        <f>IFERROR(__xludf.DUMMYFUNCTION("D77*GOOGLEFINANCE(""CURRENCY:JPYTWD"")"),-712.3654949999999)</f>
        <v>-712.365495</v>
      </c>
      <c r="G77" s="8" t="s">
        <v>174</v>
      </c>
      <c r="H77" s="8" t="s">
        <v>176</v>
      </c>
    </row>
    <row r="78" ht="22.5" customHeight="1">
      <c r="A78" s="4">
        <v>45838.0</v>
      </c>
      <c r="B78" s="5" t="s">
        <v>22</v>
      </c>
      <c r="C78" s="6" t="s">
        <v>191</v>
      </c>
      <c r="D78" s="7">
        <v>-500.0</v>
      </c>
      <c r="E78" s="5" t="s">
        <v>61</v>
      </c>
      <c r="F78" s="17">
        <f>IFERROR(__xludf.DUMMYFUNCTION("D78*GOOGLEFINANCE(""CURRENCY:JPYTWD"")"),-99.21525)</f>
        <v>-99.21525</v>
      </c>
      <c r="G78" s="8" t="s">
        <v>174</v>
      </c>
      <c r="H78" s="8" t="s">
        <v>176</v>
      </c>
    </row>
    <row r="79" ht="22.5" customHeight="1">
      <c r="A79" s="4">
        <v>45838.0</v>
      </c>
      <c r="B79" s="5" t="s">
        <v>22</v>
      </c>
      <c r="C79" s="6" t="s">
        <v>66</v>
      </c>
      <c r="D79" s="7">
        <v>-2830.0</v>
      </c>
      <c r="E79" s="5" t="s">
        <v>61</v>
      </c>
      <c r="F79" s="17">
        <f>IFERROR(__xludf.DUMMYFUNCTION("D79*GOOGLEFINANCE(""CURRENCY:JPYTWD"")"),-561.558315)</f>
        <v>-561.558315</v>
      </c>
      <c r="G79" s="8" t="s">
        <v>14</v>
      </c>
      <c r="H79" s="8" t="s">
        <v>176</v>
      </c>
    </row>
    <row r="80" ht="22.5" customHeight="1">
      <c r="A80" s="4">
        <v>45838.0</v>
      </c>
      <c r="B80" s="5" t="s">
        <v>22</v>
      </c>
      <c r="C80" s="6" t="s">
        <v>185</v>
      </c>
      <c r="D80" s="7">
        <v>-1749.0</v>
      </c>
      <c r="E80" s="5" t="s">
        <v>61</v>
      </c>
      <c r="F80" s="17">
        <f>IFERROR(__xludf.DUMMYFUNCTION("D80*GOOGLEFINANCE(""CURRENCY:JPYTWD"")"),-347.0549445)</f>
        <v>-347.0549445</v>
      </c>
      <c r="G80" s="8" t="s">
        <v>174</v>
      </c>
      <c r="H80" s="8" t="s">
        <v>176</v>
      </c>
    </row>
    <row r="81" ht="22.5" customHeight="1">
      <c r="A81" s="10"/>
      <c r="B81" s="31"/>
      <c r="C81" s="15"/>
      <c r="D81" s="32"/>
      <c r="E81" s="31"/>
      <c r="F81" s="26">
        <f>SUM(June[TWD])</f>
        <v>-62241.47407</v>
      </c>
      <c r="G81" s="26"/>
      <c r="H81" s="26"/>
    </row>
    <row r="82">
      <c r="F82" s="29" t="s">
        <v>192</v>
      </c>
    </row>
  </sheetData>
  <dataValidations>
    <dataValidation type="list" allowBlank="1" sqref="B2:B80">
      <formula1>"Income,Trasportation,Accommdation,Others,Food,Entertainment "</formula1>
    </dataValidation>
    <dataValidation type="list" allowBlank="1" sqref="E2:E80">
      <formula1>"AUD,TWD,Yen"</formula1>
    </dataValidation>
    <dataValidation type="custom" allowBlank="1" showDropDown="1" sqref="A2:A80">
      <formula1>OR(NOT(ISERROR(DATEVALUE(A2))), AND(ISNUMBER(A2), LEFT(CELL("format", A2))="D"))</formula1>
    </dataValidation>
    <dataValidation type="custom" allowBlank="1" showDropDown="1" sqref="D2:D80">
      <formula1>AND(ISNUMBER(D2),(NOT(OR(NOT(ISERROR(DATEVALUE(D2))), AND(ISNUMBER(D2), LEFT(CELL("format", D2))="D")))))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H57"/>
    <hyperlink r:id="rId58" ref="G58"/>
    <hyperlink r:id="rId59" ref="H58"/>
    <hyperlink r:id="rId60" ref="G59"/>
    <hyperlink r:id="rId61" ref="H59"/>
    <hyperlink r:id="rId62" ref="G60"/>
    <hyperlink r:id="rId63" ref="H60"/>
    <hyperlink r:id="rId64" ref="G61"/>
    <hyperlink r:id="rId65" ref="H61"/>
    <hyperlink r:id="rId66" ref="G62"/>
    <hyperlink r:id="rId67" ref="H62"/>
    <hyperlink r:id="rId68" ref="G63"/>
    <hyperlink r:id="rId69" ref="H63"/>
    <hyperlink r:id="rId70" ref="G64"/>
    <hyperlink r:id="rId71" ref="H64"/>
    <hyperlink r:id="rId72" ref="G65"/>
    <hyperlink r:id="rId73" ref="H65"/>
    <hyperlink r:id="rId74" ref="G66"/>
    <hyperlink r:id="rId75" ref="H66"/>
    <hyperlink r:id="rId76" ref="G67"/>
    <hyperlink r:id="rId77" ref="H67"/>
    <hyperlink r:id="rId78" ref="G68"/>
    <hyperlink r:id="rId79" ref="H68"/>
    <hyperlink r:id="rId80" ref="G69"/>
    <hyperlink r:id="rId81" ref="H69"/>
    <hyperlink r:id="rId82" ref="G70"/>
    <hyperlink r:id="rId83" ref="H70"/>
    <hyperlink r:id="rId84" ref="G71"/>
    <hyperlink r:id="rId85" ref="H71"/>
    <hyperlink r:id="rId86" ref="G72"/>
    <hyperlink r:id="rId87" ref="H72"/>
    <hyperlink r:id="rId88" ref="G73"/>
    <hyperlink r:id="rId89" ref="H73"/>
    <hyperlink r:id="rId90" ref="G74"/>
    <hyperlink r:id="rId91" ref="H74"/>
    <hyperlink r:id="rId92" ref="G75"/>
    <hyperlink r:id="rId93" ref="H75"/>
    <hyperlink r:id="rId94" ref="G76"/>
    <hyperlink r:id="rId95" ref="H76"/>
    <hyperlink r:id="rId96" ref="G77"/>
    <hyperlink r:id="rId97" ref="H77"/>
    <hyperlink r:id="rId98" ref="G78"/>
    <hyperlink r:id="rId99" ref="H78"/>
    <hyperlink r:id="rId100" ref="G79"/>
    <hyperlink r:id="rId101" ref="H79"/>
    <hyperlink r:id="rId102" ref="G80"/>
    <hyperlink r:id="rId103" ref="H80"/>
  </hyperlinks>
  <drawing r:id="rId104"/>
  <tableParts count="1">
    <tablePart r:id="rId10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13</v>
      </c>
      <c r="G1" s="2" t="s">
        <v>5</v>
      </c>
      <c r="H1" s="2" t="s">
        <v>118</v>
      </c>
    </row>
    <row r="2" ht="22.5" customHeight="1">
      <c r="A2" s="4">
        <v>45839.0</v>
      </c>
      <c r="B2" s="5" t="s">
        <v>11</v>
      </c>
      <c r="C2" s="6" t="s">
        <v>12</v>
      </c>
      <c r="D2" s="7">
        <v>28000.0</v>
      </c>
      <c r="E2" s="5" t="s">
        <v>13</v>
      </c>
      <c r="F2" s="17">
        <f t="shared" ref="F2:F6" si="1">D2*1</f>
        <v>28000</v>
      </c>
      <c r="G2" s="8" t="s">
        <v>14</v>
      </c>
      <c r="H2" s="17"/>
    </row>
    <row r="3" ht="22.5" customHeight="1">
      <c r="A3" s="4">
        <v>45839.0</v>
      </c>
      <c r="B3" s="5" t="s">
        <v>11</v>
      </c>
      <c r="C3" s="6" t="s">
        <v>15</v>
      </c>
      <c r="D3" s="7">
        <v>22000.0</v>
      </c>
      <c r="E3" s="5" t="s">
        <v>13</v>
      </c>
      <c r="F3" s="17">
        <f t="shared" si="1"/>
        <v>22000</v>
      </c>
      <c r="G3" s="8" t="s">
        <v>16</v>
      </c>
      <c r="H3" s="17"/>
    </row>
    <row r="4" ht="22.5" customHeight="1">
      <c r="A4" s="4">
        <v>45839.0</v>
      </c>
      <c r="B4" s="5" t="s">
        <v>58</v>
      </c>
      <c r="C4" s="6" t="s">
        <v>159</v>
      </c>
      <c r="D4" s="7">
        <v>-12000.0</v>
      </c>
      <c r="E4" s="5" t="s">
        <v>13</v>
      </c>
      <c r="F4" s="17">
        <f t="shared" si="1"/>
        <v>-12000</v>
      </c>
      <c r="G4" s="8" t="s">
        <v>14</v>
      </c>
      <c r="H4" s="17"/>
    </row>
    <row r="5" ht="22.5" customHeight="1">
      <c r="A5" s="4">
        <v>45839.0</v>
      </c>
      <c r="B5" s="5" t="s">
        <v>17</v>
      </c>
      <c r="C5" s="6" t="s">
        <v>20</v>
      </c>
      <c r="D5" s="7">
        <v>-660.0</v>
      </c>
      <c r="E5" s="5" t="s">
        <v>13</v>
      </c>
      <c r="F5" s="17">
        <f t="shared" si="1"/>
        <v>-660</v>
      </c>
      <c r="G5" s="8" t="s">
        <v>14</v>
      </c>
      <c r="H5" s="17"/>
    </row>
    <row r="6" ht="22.5" customHeight="1">
      <c r="A6" s="4">
        <v>45839.0</v>
      </c>
      <c r="B6" s="5" t="s">
        <v>17</v>
      </c>
      <c r="C6" s="6" t="s">
        <v>21</v>
      </c>
      <c r="D6" s="7">
        <v>-390.0</v>
      </c>
      <c r="E6" s="5" t="s">
        <v>13</v>
      </c>
      <c r="F6" s="17">
        <f t="shared" si="1"/>
        <v>-390</v>
      </c>
      <c r="G6" s="8" t="s">
        <v>14</v>
      </c>
      <c r="H6" s="17"/>
    </row>
    <row r="7" ht="22.5" customHeight="1">
      <c r="A7" s="4">
        <v>45839.0</v>
      </c>
      <c r="B7" s="5" t="s">
        <v>22</v>
      </c>
      <c r="C7" s="6" t="s">
        <v>193</v>
      </c>
      <c r="D7" s="7">
        <v>-6391.0</v>
      </c>
      <c r="E7" s="5" t="s">
        <v>61</v>
      </c>
      <c r="F7" s="17">
        <f>IFERROR(__xludf.DUMMYFUNCTION("D7*GOOGLEFINANCE(""CURRENCY:JPYTWD"")"),-1268.1693254999998)</f>
        <v>-1268.169326</v>
      </c>
      <c r="G7" s="8" t="s">
        <v>16</v>
      </c>
      <c r="H7" s="8" t="s">
        <v>176</v>
      </c>
    </row>
    <row r="8" ht="22.5" customHeight="1">
      <c r="A8" s="4">
        <v>45839.0</v>
      </c>
      <c r="B8" s="5" t="s">
        <v>17</v>
      </c>
      <c r="C8" s="6" t="s">
        <v>193</v>
      </c>
      <c r="D8" s="7">
        <v>-21862.0</v>
      </c>
      <c r="E8" s="5" t="s">
        <v>61</v>
      </c>
      <c r="F8" s="17">
        <f>IFERROR(__xludf.DUMMYFUNCTION("D8*GOOGLEFINANCE(""CURRENCY:JPYTWD"")"),-4338.0875909999995)</f>
        <v>-4338.087591</v>
      </c>
      <c r="G8" s="8" t="s">
        <v>16</v>
      </c>
      <c r="H8" s="8" t="s">
        <v>176</v>
      </c>
    </row>
    <row r="9" ht="22.5" customHeight="1">
      <c r="A9" s="4">
        <v>45839.0</v>
      </c>
      <c r="B9" s="5" t="s">
        <v>22</v>
      </c>
      <c r="C9" s="6" t="s">
        <v>194</v>
      </c>
      <c r="D9" s="7">
        <v>-1260.0</v>
      </c>
      <c r="E9" s="5" t="s">
        <v>61</v>
      </c>
      <c r="F9" s="17">
        <f>IFERROR(__xludf.DUMMYFUNCTION("D9*GOOGLEFINANCE(""CURRENCY:JPYTWD"")"),-250.02242999999999)</f>
        <v>-250.02243</v>
      </c>
      <c r="G9" s="8" t="s">
        <v>14</v>
      </c>
      <c r="H9" s="8" t="s">
        <v>176</v>
      </c>
    </row>
    <row r="10" ht="22.5" customHeight="1">
      <c r="A10" s="4">
        <v>45839.0</v>
      </c>
      <c r="B10" s="5" t="s">
        <v>30</v>
      </c>
      <c r="C10" s="6" t="s">
        <v>195</v>
      </c>
      <c r="D10" s="7">
        <v>-7958.0</v>
      </c>
      <c r="E10" s="5" t="s">
        <v>61</v>
      </c>
      <c r="F10" s="17">
        <f>IFERROR(__xludf.DUMMYFUNCTION("D10*GOOGLEFINANCE(""CURRENCY:JPYTWD"")"),-1579.1099189999998)</f>
        <v>-1579.109919</v>
      </c>
      <c r="G10" s="8" t="s">
        <v>16</v>
      </c>
      <c r="H10" s="8" t="s">
        <v>176</v>
      </c>
    </row>
    <row r="11" ht="22.5" customHeight="1">
      <c r="A11" s="4">
        <v>45839.0</v>
      </c>
      <c r="B11" s="5" t="s">
        <v>22</v>
      </c>
      <c r="C11" s="6" t="s">
        <v>37</v>
      </c>
      <c r="D11" s="7">
        <v>-658.0</v>
      </c>
      <c r="E11" s="5" t="s">
        <v>61</v>
      </c>
      <c r="F11" s="17">
        <f>IFERROR(__xludf.DUMMYFUNCTION("D11*GOOGLEFINANCE(""CURRENCY:JPYTWD"")"),-130.56726899999998)</f>
        <v>-130.567269</v>
      </c>
      <c r="G11" s="8" t="s">
        <v>16</v>
      </c>
      <c r="H11" s="8" t="s">
        <v>176</v>
      </c>
    </row>
    <row r="12" ht="22.5" customHeight="1">
      <c r="A12" s="4">
        <v>45839.0</v>
      </c>
      <c r="B12" s="5" t="s">
        <v>22</v>
      </c>
      <c r="C12" s="33">
        <v>45849.0</v>
      </c>
      <c r="D12" s="7">
        <v>-221.0</v>
      </c>
      <c r="E12" s="5" t="s">
        <v>61</v>
      </c>
      <c r="F12" s="17">
        <f>IFERROR(__xludf.DUMMYFUNCTION("D12*GOOGLEFINANCE(""CURRENCY:JPYTWD"")"),-43.853140499999995)</f>
        <v>-43.8531405</v>
      </c>
      <c r="G12" s="8" t="s">
        <v>16</v>
      </c>
      <c r="H12" s="8" t="s">
        <v>176</v>
      </c>
    </row>
    <row r="13" ht="22.5" customHeight="1">
      <c r="A13" s="4">
        <v>45839.0</v>
      </c>
      <c r="B13" s="5" t="s">
        <v>22</v>
      </c>
      <c r="C13" s="6" t="s">
        <v>40</v>
      </c>
      <c r="D13" s="7">
        <v>-345.0</v>
      </c>
      <c r="E13" s="5" t="s">
        <v>61</v>
      </c>
      <c r="F13" s="17">
        <f>IFERROR(__xludf.DUMMYFUNCTION("D13*GOOGLEFINANCE(""CURRENCY:JPYTWD"")"),-68.4585225)</f>
        <v>-68.4585225</v>
      </c>
      <c r="G13" s="8" t="s">
        <v>16</v>
      </c>
      <c r="H13" s="8" t="s">
        <v>176</v>
      </c>
    </row>
    <row r="14" ht="22.5" customHeight="1">
      <c r="A14" s="4">
        <v>45839.0</v>
      </c>
      <c r="B14" s="5" t="s">
        <v>22</v>
      </c>
      <c r="C14" s="6" t="s">
        <v>193</v>
      </c>
      <c r="D14" s="7">
        <v>-9861.0</v>
      </c>
      <c r="E14" s="5" t="s">
        <v>61</v>
      </c>
      <c r="F14" s="17">
        <f>IFERROR(__xludf.DUMMYFUNCTION("D14*GOOGLEFINANCE(""CURRENCY:JPYTWD"")"),-1956.7231604999997)</f>
        <v>-1956.723161</v>
      </c>
      <c r="G14" s="8" t="s">
        <v>16</v>
      </c>
      <c r="H14" s="8" t="s">
        <v>176</v>
      </c>
    </row>
    <row r="15" ht="22.5" customHeight="1">
      <c r="A15" s="4">
        <v>45840.0</v>
      </c>
      <c r="B15" s="5" t="s">
        <v>22</v>
      </c>
      <c r="C15" s="6" t="s">
        <v>196</v>
      </c>
      <c r="D15" s="7">
        <v>-2980.0</v>
      </c>
      <c r="E15" s="5" t="s">
        <v>61</v>
      </c>
      <c r="F15" s="17">
        <f>IFERROR(__xludf.DUMMYFUNCTION("D15*GOOGLEFINANCE(""CURRENCY:JPYTWD"")"),-591.3228899999999)</f>
        <v>-591.32289</v>
      </c>
      <c r="G15" s="34" t="s">
        <v>16</v>
      </c>
      <c r="H15" s="35" t="s">
        <v>176</v>
      </c>
    </row>
    <row r="16" ht="22.5" customHeight="1">
      <c r="A16" s="4">
        <v>45840.0</v>
      </c>
      <c r="B16" s="5" t="s">
        <v>30</v>
      </c>
      <c r="C16" s="6" t="s">
        <v>31</v>
      </c>
      <c r="D16" s="7">
        <v>-400.0</v>
      </c>
      <c r="E16" s="5" t="s">
        <v>61</v>
      </c>
      <c r="F16" s="17">
        <f>IFERROR(__xludf.DUMMYFUNCTION("D16*GOOGLEFINANCE(""CURRENCY:JPYTWD"")"),-79.37219999999999)</f>
        <v>-79.3722</v>
      </c>
      <c r="G16" s="8" t="s">
        <v>14</v>
      </c>
      <c r="H16" s="8" t="s">
        <v>176</v>
      </c>
    </row>
    <row r="17" ht="22.5" customHeight="1">
      <c r="A17" s="4">
        <v>45840.0</v>
      </c>
      <c r="B17" s="5" t="s">
        <v>30</v>
      </c>
      <c r="C17" s="6" t="s">
        <v>31</v>
      </c>
      <c r="D17" s="7">
        <v>-400.0</v>
      </c>
      <c r="E17" s="5" t="s">
        <v>61</v>
      </c>
      <c r="F17" s="17">
        <f>IFERROR(__xludf.DUMMYFUNCTION("D17*GOOGLEFINANCE(""CURRENCY:JPYTWD"")"),-79.37219999999999)</f>
        <v>-79.3722</v>
      </c>
      <c r="G17" s="8" t="s">
        <v>14</v>
      </c>
      <c r="H17" s="8" t="s">
        <v>176</v>
      </c>
    </row>
    <row r="18" ht="22.5" customHeight="1">
      <c r="A18" s="4">
        <v>45840.0</v>
      </c>
      <c r="B18" s="5" t="s">
        <v>22</v>
      </c>
      <c r="C18" s="6" t="s">
        <v>197</v>
      </c>
      <c r="D18" s="7">
        <v>-7220.0</v>
      </c>
      <c r="E18" s="5" t="s">
        <v>61</v>
      </c>
      <c r="F18" s="17">
        <f>IFERROR(__xludf.DUMMYFUNCTION("D18*GOOGLEFINANCE(""CURRENCY:JPYTWD"")"),-1432.6682099999998)</f>
        <v>-1432.66821</v>
      </c>
      <c r="G18" s="34" t="s">
        <v>16</v>
      </c>
      <c r="H18" s="35" t="s">
        <v>176</v>
      </c>
    </row>
    <row r="19" ht="22.5" customHeight="1">
      <c r="A19" s="4">
        <v>45840.0</v>
      </c>
      <c r="B19" s="5" t="s">
        <v>17</v>
      </c>
      <c r="C19" s="6" t="s">
        <v>198</v>
      </c>
      <c r="D19" s="7">
        <v>-3080.0</v>
      </c>
      <c r="E19" s="5" t="s">
        <v>61</v>
      </c>
      <c r="F19" s="17">
        <f>IFERROR(__xludf.DUMMYFUNCTION("D19*GOOGLEFINANCE(""CURRENCY:JPYTWD"")"),-611.16594)</f>
        <v>-611.16594</v>
      </c>
      <c r="G19" s="34" t="s">
        <v>16</v>
      </c>
      <c r="H19" s="35" t="s">
        <v>176</v>
      </c>
    </row>
    <row r="20" ht="22.5" customHeight="1">
      <c r="A20" s="4">
        <v>45840.0</v>
      </c>
      <c r="B20" s="5" t="s">
        <v>30</v>
      </c>
      <c r="C20" s="6" t="s">
        <v>31</v>
      </c>
      <c r="D20" s="7">
        <v>-600.0</v>
      </c>
      <c r="E20" s="5" t="s">
        <v>61</v>
      </c>
      <c r="F20" s="17">
        <f>IFERROR(__xludf.DUMMYFUNCTION("D20*GOOGLEFINANCE(""CURRENCY:JPYTWD"")"),-119.05829999999999)</f>
        <v>-119.0583</v>
      </c>
      <c r="G20" s="8" t="s">
        <v>14</v>
      </c>
      <c r="H20" s="8" t="s">
        <v>176</v>
      </c>
    </row>
    <row r="21" ht="22.5" customHeight="1">
      <c r="A21" s="4">
        <v>45840.0</v>
      </c>
      <c r="B21" s="5" t="s">
        <v>22</v>
      </c>
      <c r="C21" s="6" t="s">
        <v>76</v>
      </c>
      <c r="D21" s="7">
        <v>-620.0</v>
      </c>
      <c r="E21" s="5" t="s">
        <v>61</v>
      </c>
      <c r="F21" s="17">
        <f>IFERROR(__xludf.DUMMYFUNCTION("D21*GOOGLEFINANCE(""CURRENCY:JPYTWD"")"),-123.02690999999999)</f>
        <v>-123.02691</v>
      </c>
      <c r="G21" s="34" t="s">
        <v>16</v>
      </c>
      <c r="H21" s="35" t="s">
        <v>176</v>
      </c>
    </row>
    <row r="22" ht="22.5" customHeight="1">
      <c r="A22" s="4">
        <v>45841.0</v>
      </c>
      <c r="B22" s="5" t="s">
        <v>30</v>
      </c>
      <c r="C22" s="6" t="s">
        <v>199</v>
      </c>
      <c r="D22" s="7">
        <v>-2476.0</v>
      </c>
      <c r="E22" s="5" t="s">
        <v>61</v>
      </c>
      <c r="F22" s="17">
        <f>IFERROR(__xludf.DUMMYFUNCTION("D22*GOOGLEFINANCE(""CURRENCY:JPYTWD"")"),-491.31391799999994)</f>
        <v>-491.313918</v>
      </c>
      <c r="G22" s="8" t="s">
        <v>16</v>
      </c>
      <c r="H22" s="8" t="s">
        <v>176</v>
      </c>
    </row>
    <row r="23" ht="22.5" customHeight="1">
      <c r="A23" s="4">
        <v>45841.0</v>
      </c>
      <c r="B23" s="5" t="s">
        <v>30</v>
      </c>
      <c r="C23" s="6" t="s">
        <v>200</v>
      </c>
      <c r="D23" s="7">
        <v>-12400.0</v>
      </c>
      <c r="E23" s="5" t="s">
        <v>61</v>
      </c>
      <c r="F23" s="17">
        <f>IFERROR(__xludf.DUMMYFUNCTION("D23*GOOGLEFINANCE(""CURRENCY:JPYTWD"")"),-2460.5382)</f>
        <v>-2460.5382</v>
      </c>
      <c r="G23" s="8" t="s">
        <v>16</v>
      </c>
      <c r="H23" s="8" t="s">
        <v>176</v>
      </c>
    </row>
    <row r="24" ht="22.5" customHeight="1">
      <c r="A24" s="4">
        <v>45841.0</v>
      </c>
      <c r="B24" s="5" t="s">
        <v>17</v>
      </c>
      <c r="C24" s="6" t="s">
        <v>65</v>
      </c>
      <c r="D24" s="7">
        <v>-5322.0</v>
      </c>
      <c r="E24" s="5" t="s">
        <v>61</v>
      </c>
      <c r="F24" s="17">
        <f>IFERROR(__xludf.DUMMYFUNCTION("D24*GOOGLEFINANCE(""CURRENCY:JPYTWD"")"),-1056.0471209999998)</f>
        <v>-1056.047121</v>
      </c>
      <c r="G24" s="8" t="s">
        <v>16</v>
      </c>
      <c r="H24" s="8" t="s">
        <v>176</v>
      </c>
    </row>
    <row r="25" ht="22.5" customHeight="1">
      <c r="A25" s="4">
        <v>45841.0</v>
      </c>
      <c r="B25" s="5" t="s">
        <v>50</v>
      </c>
      <c r="C25" s="6" t="s">
        <v>201</v>
      </c>
      <c r="D25" s="7">
        <v>-940.0</v>
      </c>
      <c r="E25" s="5" t="s">
        <v>61</v>
      </c>
      <c r="F25" s="17">
        <f>IFERROR(__xludf.DUMMYFUNCTION("D25*GOOGLEFINANCE(""CURRENCY:JPYTWD"")"),-186.52467)</f>
        <v>-186.52467</v>
      </c>
      <c r="G25" s="8" t="s">
        <v>14</v>
      </c>
      <c r="H25" s="8" t="s">
        <v>176</v>
      </c>
    </row>
    <row r="26" ht="22.5" customHeight="1">
      <c r="A26" s="4">
        <v>45841.0</v>
      </c>
      <c r="B26" s="5" t="s">
        <v>22</v>
      </c>
      <c r="C26" s="6" t="s">
        <v>202</v>
      </c>
      <c r="D26" s="7">
        <v>-4100.0</v>
      </c>
      <c r="E26" s="5" t="s">
        <v>61</v>
      </c>
      <c r="F26" s="17">
        <f>IFERROR(__xludf.DUMMYFUNCTION("D26*GOOGLEFINANCE(""CURRENCY:JPYTWD"")"),-813.5650499999999)</f>
        <v>-813.56505</v>
      </c>
      <c r="G26" s="8" t="s">
        <v>16</v>
      </c>
      <c r="H26" s="8" t="s">
        <v>176</v>
      </c>
    </row>
    <row r="27" ht="22.5" customHeight="1">
      <c r="A27" s="4">
        <v>45841.0</v>
      </c>
      <c r="B27" s="5" t="s">
        <v>17</v>
      </c>
      <c r="C27" s="6" t="s">
        <v>65</v>
      </c>
      <c r="D27" s="7">
        <v>-5322.0</v>
      </c>
      <c r="E27" s="5" t="s">
        <v>61</v>
      </c>
      <c r="F27" s="17">
        <f>IFERROR(__xludf.DUMMYFUNCTION("D27*GOOGLEFINANCE(""CURRENCY:JPYTWD"")"),-1056.0471209999998)</f>
        <v>-1056.047121</v>
      </c>
      <c r="G27" s="8" t="s">
        <v>16</v>
      </c>
      <c r="H27" s="8" t="s">
        <v>176</v>
      </c>
    </row>
    <row r="28" ht="22.5" customHeight="1">
      <c r="A28" s="4">
        <v>45841.0</v>
      </c>
      <c r="B28" s="5" t="s">
        <v>30</v>
      </c>
      <c r="C28" s="6" t="s">
        <v>203</v>
      </c>
      <c r="D28" s="7">
        <v>-1950.0</v>
      </c>
      <c r="E28" s="5" t="s">
        <v>61</v>
      </c>
      <c r="F28" s="17">
        <f>IFERROR(__xludf.DUMMYFUNCTION("D28*GOOGLEFINANCE(""CURRENCY:JPYTWD"")"),-386.93947499999996)</f>
        <v>-386.939475</v>
      </c>
      <c r="G28" s="8" t="s">
        <v>14</v>
      </c>
      <c r="H28" s="8" t="s">
        <v>204</v>
      </c>
    </row>
    <row r="29" ht="22.5" customHeight="1">
      <c r="A29" s="4">
        <v>45841.0</v>
      </c>
      <c r="B29" s="5" t="s">
        <v>30</v>
      </c>
      <c r="C29" s="6" t="s">
        <v>199</v>
      </c>
      <c r="D29" s="7">
        <v>-379.0</v>
      </c>
      <c r="E29" s="5" t="s">
        <v>61</v>
      </c>
      <c r="F29" s="17">
        <f>IFERROR(__xludf.DUMMYFUNCTION("D29*GOOGLEFINANCE(""CURRENCY:JPYTWD"")"),-75.2051595)</f>
        <v>-75.2051595</v>
      </c>
      <c r="G29" s="8" t="s">
        <v>14</v>
      </c>
      <c r="H29" s="8" t="s">
        <v>204</v>
      </c>
    </row>
    <row r="30" ht="22.5" customHeight="1">
      <c r="A30" s="4">
        <v>45841.0</v>
      </c>
      <c r="B30" s="5" t="s">
        <v>22</v>
      </c>
      <c r="C30" s="6" t="s">
        <v>205</v>
      </c>
      <c r="D30" s="7">
        <v>-484.0</v>
      </c>
      <c r="E30" s="5" t="s">
        <v>61</v>
      </c>
      <c r="F30" s="17">
        <f>IFERROR(__xludf.DUMMYFUNCTION("D30*GOOGLEFINANCE(""CURRENCY:JPYTWD"")"),-96.04036199999999)</f>
        <v>-96.040362</v>
      </c>
      <c r="G30" s="8" t="s">
        <v>16</v>
      </c>
      <c r="H30" s="8" t="s">
        <v>176</v>
      </c>
    </row>
    <row r="31" ht="22.5" customHeight="1">
      <c r="A31" s="4">
        <v>45841.0</v>
      </c>
      <c r="B31" s="5" t="s">
        <v>30</v>
      </c>
      <c r="C31" s="6" t="s">
        <v>199</v>
      </c>
      <c r="D31" s="7">
        <v>-359.0</v>
      </c>
      <c r="E31" s="5" t="s">
        <v>61</v>
      </c>
      <c r="F31" s="17">
        <f>IFERROR(__xludf.DUMMYFUNCTION("D31*GOOGLEFINANCE(""CURRENCY:JPYTWD"")"),-71.2365495)</f>
        <v>-71.2365495</v>
      </c>
      <c r="G31" s="8" t="s">
        <v>14</v>
      </c>
      <c r="H31" s="8" t="s">
        <v>204</v>
      </c>
    </row>
    <row r="32" ht="22.5" customHeight="1">
      <c r="A32" s="4">
        <v>45841.0</v>
      </c>
      <c r="B32" s="5" t="s">
        <v>17</v>
      </c>
      <c r="C32" s="6" t="s">
        <v>65</v>
      </c>
      <c r="D32" s="7">
        <v>-1848.0</v>
      </c>
      <c r="E32" s="5" t="s">
        <v>61</v>
      </c>
      <c r="F32" s="17">
        <f>IFERROR(__xludf.DUMMYFUNCTION("D32*GOOGLEFINANCE(""CURRENCY:JPYTWD"")"),-366.69956399999995)</f>
        <v>-366.699564</v>
      </c>
      <c r="G32" s="8" t="s">
        <v>14</v>
      </c>
      <c r="H32" s="8" t="s">
        <v>204</v>
      </c>
    </row>
    <row r="33" ht="22.5" customHeight="1">
      <c r="A33" s="4">
        <v>45841.0</v>
      </c>
      <c r="B33" s="5" t="s">
        <v>17</v>
      </c>
      <c r="C33" s="6" t="s">
        <v>65</v>
      </c>
      <c r="D33" s="7">
        <v>-2027.0</v>
      </c>
      <c r="E33" s="5" t="s">
        <v>61</v>
      </c>
      <c r="F33" s="17">
        <f>IFERROR(__xludf.DUMMYFUNCTION("D33*GOOGLEFINANCE(""CURRENCY:JPYTWD"")"),-402.2186235)</f>
        <v>-402.2186235</v>
      </c>
      <c r="G33" s="8" t="s">
        <v>16</v>
      </c>
      <c r="H33" s="8" t="s">
        <v>176</v>
      </c>
    </row>
    <row r="34" ht="22.5" customHeight="1">
      <c r="A34" s="4">
        <v>45841.0</v>
      </c>
      <c r="B34" s="5" t="s">
        <v>17</v>
      </c>
      <c r="C34" s="6" t="s">
        <v>65</v>
      </c>
      <c r="D34" s="7">
        <v>-5188.0</v>
      </c>
      <c r="E34" s="5" t="s">
        <v>61</v>
      </c>
      <c r="F34" s="17">
        <f>IFERROR(__xludf.DUMMYFUNCTION("D34*GOOGLEFINANCE(""CURRENCY:JPYTWD"")"),-1029.457434)</f>
        <v>-1029.457434</v>
      </c>
      <c r="G34" s="8" t="s">
        <v>16</v>
      </c>
      <c r="H34" s="8" t="s">
        <v>176</v>
      </c>
    </row>
    <row r="35" ht="22.5" customHeight="1">
      <c r="A35" s="4">
        <v>45842.0</v>
      </c>
      <c r="B35" s="5" t="s">
        <v>22</v>
      </c>
      <c r="C35" s="6" t="s">
        <v>205</v>
      </c>
      <c r="D35" s="7">
        <v>-308.0</v>
      </c>
      <c r="E35" s="5" t="s">
        <v>61</v>
      </c>
      <c r="F35" s="17">
        <f>IFERROR(__xludf.DUMMYFUNCTION("D35*GOOGLEFINANCE(""CURRENCY:JPYTWD"")"),-61.11659399999999)</f>
        <v>-61.116594</v>
      </c>
      <c r="G35" s="8" t="s">
        <v>14</v>
      </c>
      <c r="H35" s="8" t="s">
        <v>204</v>
      </c>
    </row>
    <row r="36" ht="22.5" customHeight="1">
      <c r="A36" s="4">
        <v>45842.0</v>
      </c>
      <c r="B36" s="5" t="s">
        <v>22</v>
      </c>
      <c r="C36" s="6" t="s">
        <v>139</v>
      </c>
      <c r="D36" s="7">
        <v>-1200.0</v>
      </c>
      <c r="E36" s="5" t="s">
        <v>61</v>
      </c>
      <c r="F36" s="17">
        <f>IFERROR(__xludf.DUMMYFUNCTION("D36*GOOGLEFINANCE(""CURRENCY:JPYTWD"")"),-238.11659999999998)</f>
        <v>-238.1166</v>
      </c>
      <c r="G36" s="8" t="s">
        <v>16</v>
      </c>
      <c r="H36" s="8" t="s">
        <v>204</v>
      </c>
    </row>
    <row r="37" ht="22.5" customHeight="1">
      <c r="A37" s="4">
        <v>45842.0</v>
      </c>
      <c r="B37" s="5" t="s">
        <v>22</v>
      </c>
      <c r="C37" s="6" t="s">
        <v>76</v>
      </c>
      <c r="D37" s="7">
        <v>-155.0</v>
      </c>
      <c r="E37" s="5" t="s">
        <v>13</v>
      </c>
      <c r="F37" s="17">
        <f t="shared" ref="F37:F101" si="2">D37</f>
        <v>-155</v>
      </c>
      <c r="G37" s="8" t="s">
        <v>14</v>
      </c>
      <c r="H37" s="17"/>
    </row>
    <row r="38" ht="22.5" customHeight="1">
      <c r="A38" s="4">
        <v>45843.0</v>
      </c>
      <c r="B38" s="5" t="s">
        <v>22</v>
      </c>
      <c r="C38" s="6" t="s">
        <v>206</v>
      </c>
      <c r="D38" s="7">
        <v>-280.0</v>
      </c>
      <c r="E38" s="5" t="s">
        <v>13</v>
      </c>
      <c r="F38" s="17">
        <f t="shared" si="2"/>
        <v>-280</v>
      </c>
      <c r="G38" s="8" t="s">
        <v>14</v>
      </c>
      <c r="H38" s="17"/>
    </row>
    <row r="39" ht="22.5" customHeight="1">
      <c r="A39" s="4">
        <v>45843.0</v>
      </c>
      <c r="B39" s="5" t="s">
        <v>22</v>
      </c>
      <c r="C39" s="6" t="s">
        <v>76</v>
      </c>
      <c r="D39" s="7">
        <v>-514.0</v>
      </c>
      <c r="E39" s="5" t="s">
        <v>13</v>
      </c>
      <c r="F39" s="17">
        <f t="shared" si="2"/>
        <v>-514</v>
      </c>
      <c r="G39" s="8" t="s">
        <v>14</v>
      </c>
      <c r="H39" s="17"/>
    </row>
    <row r="40" ht="22.5" customHeight="1">
      <c r="A40" s="4">
        <v>45843.0</v>
      </c>
      <c r="B40" s="5" t="s">
        <v>22</v>
      </c>
      <c r="C40" s="6" t="s">
        <v>207</v>
      </c>
      <c r="D40" s="7">
        <v>-220.0</v>
      </c>
      <c r="E40" s="5" t="s">
        <v>13</v>
      </c>
      <c r="F40" s="17">
        <f t="shared" si="2"/>
        <v>-220</v>
      </c>
      <c r="G40" s="8" t="s">
        <v>14</v>
      </c>
      <c r="H40" s="17"/>
    </row>
    <row r="41" ht="22.5" customHeight="1">
      <c r="A41" s="4">
        <v>45843.0</v>
      </c>
      <c r="B41" s="5" t="s">
        <v>22</v>
      </c>
      <c r="C41" s="6" t="s">
        <v>207</v>
      </c>
      <c r="D41" s="7">
        <v>-560.0</v>
      </c>
      <c r="E41" s="5" t="s">
        <v>13</v>
      </c>
      <c r="F41" s="17">
        <f t="shared" si="2"/>
        <v>-560</v>
      </c>
      <c r="G41" s="8" t="s">
        <v>14</v>
      </c>
      <c r="H41" s="17"/>
    </row>
    <row r="42" ht="22.5" customHeight="1">
      <c r="A42" s="4">
        <v>45844.0</v>
      </c>
      <c r="B42" s="5" t="s">
        <v>22</v>
      </c>
      <c r="C42" s="6" t="s">
        <v>208</v>
      </c>
      <c r="D42" s="7">
        <v>-150.0</v>
      </c>
      <c r="E42" s="5" t="s">
        <v>13</v>
      </c>
      <c r="F42" s="17">
        <f t="shared" si="2"/>
        <v>-150</v>
      </c>
      <c r="G42" s="8" t="s">
        <v>16</v>
      </c>
      <c r="H42" s="17"/>
    </row>
    <row r="43" ht="22.5" customHeight="1">
      <c r="A43" s="4">
        <v>45844.0</v>
      </c>
      <c r="B43" s="5" t="s">
        <v>30</v>
      </c>
      <c r="C43" s="1">
        <v>55688.0</v>
      </c>
      <c r="D43" s="7">
        <v>-135.0</v>
      </c>
      <c r="E43" s="5" t="s">
        <v>13</v>
      </c>
      <c r="F43" s="17">
        <f t="shared" si="2"/>
        <v>-135</v>
      </c>
      <c r="G43" s="8" t="s">
        <v>14</v>
      </c>
      <c r="H43" s="17"/>
    </row>
    <row r="44" ht="22.5" customHeight="1">
      <c r="A44" s="4">
        <v>45844.0</v>
      </c>
      <c r="B44" s="5" t="s">
        <v>30</v>
      </c>
      <c r="C44" s="1" t="s">
        <v>209</v>
      </c>
      <c r="D44" s="7">
        <v>-400.0</v>
      </c>
      <c r="E44" s="5" t="s">
        <v>13</v>
      </c>
      <c r="F44" s="17">
        <f t="shared" si="2"/>
        <v>-400</v>
      </c>
      <c r="G44" s="8" t="s">
        <v>14</v>
      </c>
      <c r="H44" s="17"/>
    </row>
    <row r="45" ht="22.5" customHeight="1">
      <c r="A45" s="4">
        <v>45844.0</v>
      </c>
      <c r="B45" s="5" t="s">
        <v>22</v>
      </c>
      <c r="C45" s="6" t="s">
        <v>210</v>
      </c>
      <c r="D45" s="7">
        <v>-80.0</v>
      </c>
      <c r="E45" s="5" t="s">
        <v>13</v>
      </c>
      <c r="F45" s="17">
        <f t="shared" si="2"/>
        <v>-80</v>
      </c>
      <c r="G45" s="8" t="s">
        <v>14</v>
      </c>
      <c r="H45" s="17"/>
    </row>
    <row r="46" ht="22.5" customHeight="1">
      <c r="A46" s="4">
        <v>45844.0</v>
      </c>
      <c r="B46" s="5" t="s">
        <v>22</v>
      </c>
      <c r="C46" s="6" t="s">
        <v>76</v>
      </c>
      <c r="D46" s="7">
        <v>-77.0</v>
      </c>
      <c r="E46" s="5" t="s">
        <v>13</v>
      </c>
      <c r="F46" s="17">
        <f t="shared" si="2"/>
        <v>-77</v>
      </c>
      <c r="G46" s="8" t="s">
        <v>14</v>
      </c>
      <c r="H46" s="17"/>
    </row>
    <row r="47" ht="22.5" customHeight="1">
      <c r="A47" s="4">
        <v>45844.0</v>
      </c>
      <c r="B47" s="5" t="s">
        <v>22</v>
      </c>
      <c r="C47" s="6" t="s">
        <v>27</v>
      </c>
      <c r="D47" s="7">
        <v>-305.0</v>
      </c>
      <c r="E47" s="5" t="s">
        <v>13</v>
      </c>
      <c r="F47" s="17">
        <f t="shared" si="2"/>
        <v>-305</v>
      </c>
      <c r="G47" s="8" t="s">
        <v>14</v>
      </c>
      <c r="H47" s="17"/>
    </row>
    <row r="48" ht="22.5" customHeight="1">
      <c r="A48" s="4">
        <v>45845.0</v>
      </c>
      <c r="B48" s="5" t="s">
        <v>22</v>
      </c>
      <c r="C48" s="6" t="s">
        <v>29</v>
      </c>
      <c r="D48" s="7">
        <v>-89.0</v>
      </c>
      <c r="E48" s="5" t="s">
        <v>13</v>
      </c>
      <c r="F48" s="17">
        <f t="shared" si="2"/>
        <v>-89</v>
      </c>
      <c r="G48" s="8" t="s">
        <v>14</v>
      </c>
      <c r="H48" s="17"/>
    </row>
    <row r="49" ht="22.5" customHeight="1">
      <c r="A49" s="4">
        <v>45845.0</v>
      </c>
      <c r="B49" s="5" t="s">
        <v>22</v>
      </c>
      <c r="C49" s="6" t="s">
        <v>29</v>
      </c>
      <c r="D49" s="7">
        <v>-3834.0</v>
      </c>
      <c r="E49" s="5" t="s">
        <v>13</v>
      </c>
      <c r="F49" s="17">
        <f t="shared" si="2"/>
        <v>-3834</v>
      </c>
      <c r="G49" s="8" t="s">
        <v>16</v>
      </c>
      <c r="H49" s="17"/>
    </row>
    <row r="50" ht="22.5" customHeight="1">
      <c r="A50" s="4">
        <v>45847.0</v>
      </c>
      <c r="B50" s="5" t="s">
        <v>22</v>
      </c>
      <c r="C50" s="6" t="s">
        <v>211</v>
      </c>
      <c r="D50" s="7">
        <v>-109.0</v>
      </c>
      <c r="E50" s="5" t="s">
        <v>13</v>
      </c>
      <c r="F50" s="17">
        <f t="shared" si="2"/>
        <v>-109</v>
      </c>
      <c r="G50" s="8" t="s">
        <v>14</v>
      </c>
      <c r="H50" s="17"/>
    </row>
    <row r="51" ht="22.5" customHeight="1">
      <c r="A51" s="4">
        <v>45848.0</v>
      </c>
      <c r="B51" s="5" t="s">
        <v>22</v>
      </c>
      <c r="C51" s="6" t="s">
        <v>211</v>
      </c>
      <c r="D51" s="7">
        <v>-109.0</v>
      </c>
      <c r="E51" s="5" t="s">
        <v>13</v>
      </c>
      <c r="F51" s="17">
        <f t="shared" si="2"/>
        <v>-109</v>
      </c>
      <c r="G51" s="8" t="s">
        <v>14</v>
      </c>
      <c r="H51" s="17"/>
    </row>
    <row r="52" ht="22.5" customHeight="1">
      <c r="A52" s="4">
        <v>45849.0</v>
      </c>
      <c r="B52" s="5" t="s">
        <v>22</v>
      </c>
      <c r="C52" s="6" t="s">
        <v>212</v>
      </c>
      <c r="D52" s="7">
        <v>-2763.0</v>
      </c>
      <c r="E52" s="5" t="s">
        <v>13</v>
      </c>
      <c r="F52" s="17">
        <f t="shared" si="2"/>
        <v>-2763</v>
      </c>
      <c r="G52" s="8" t="s">
        <v>14</v>
      </c>
      <c r="H52" s="17"/>
    </row>
    <row r="53" ht="22.5" customHeight="1">
      <c r="A53" s="4">
        <v>45849.0</v>
      </c>
      <c r="B53" s="5" t="s">
        <v>22</v>
      </c>
      <c r="C53" s="6" t="s">
        <v>211</v>
      </c>
      <c r="D53" s="7">
        <v>-109.0</v>
      </c>
      <c r="E53" s="5" t="s">
        <v>13</v>
      </c>
      <c r="F53" s="17">
        <f t="shared" si="2"/>
        <v>-109</v>
      </c>
      <c r="G53" s="8" t="s">
        <v>14</v>
      </c>
      <c r="H53" s="17"/>
    </row>
    <row r="54" ht="22.5" customHeight="1">
      <c r="A54" s="4">
        <v>45849.0</v>
      </c>
      <c r="B54" s="5" t="s">
        <v>22</v>
      </c>
      <c r="C54" s="6" t="s">
        <v>213</v>
      </c>
      <c r="D54" s="7">
        <v>-75.0</v>
      </c>
      <c r="E54" s="5" t="s">
        <v>13</v>
      </c>
      <c r="F54" s="17">
        <f t="shared" si="2"/>
        <v>-75</v>
      </c>
      <c r="G54" s="8" t="s">
        <v>14</v>
      </c>
      <c r="H54" s="17"/>
    </row>
    <row r="55" ht="22.5" customHeight="1">
      <c r="A55" s="4">
        <v>45850.0</v>
      </c>
      <c r="B55" s="5" t="s">
        <v>22</v>
      </c>
      <c r="C55" s="6" t="s">
        <v>211</v>
      </c>
      <c r="D55" s="7">
        <v>-99.0</v>
      </c>
      <c r="E55" s="5" t="s">
        <v>13</v>
      </c>
      <c r="F55" s="17">
        <f t="shared" si="2"/>
        <v>-99</v>
      </c>
      <c r="G55" s="8" t="s">
        <v>14</v>
      </c>
      <c r="H55" s="17"/>
    </row>
    <row r="56" ht="22.5" customHeight="1">
      <c r="A56" s="4">
        <v>45850.0</v>
      </c>
      <c r="B56" s="5" t="s">
        <v>17</v>
      </c>
      <c r="C56" s="6" t="s">
        <v>20</v>
      </c>
      <c r="D56" s="7">
        <v>-660.0</v>
      </c>
      <c r="E56" s="5" t="s">
        <v>13</v>
      </c>
      <c r="F56" s="17">
        <f t="shared" si="2"/>
        <v>-660</v>
      </c>
      <c r="G56" s="8" t="s">
        <v>14</v>
      </c>
      <c r="H56" s="17"/>
    </row>
    <row r="57" ht="22.5" customHeight="1">
      <c r="A57" s="4">
        <v>45851.0</v>
      </c>
      <c r="B57" s="5" t="s">
        <v>22</v>
      </c>
      <c r="C57" s="6" t="s">
        <v>37</v>
      </c>
      <c r="D57" s="7">
        <v>-255.0</v>
      </c>
      <c r="E57" s="5" t="s">
        <v>13</v>
      </c>
      <c r="F57" s="17">
        <f t="shared" si="2"/>
        <v>-255</v>
      </c>
      <c r="G57" s="8" t="s">
        <v>14</v>
      </c>
      <c r="H57" s="17"/>
    </row>
    <row r="58" ht="22.5" customHeight="1">
      <c r="A58" s="4">
        <v>45851.0</v>
      </c>
      <c r="B58" s="5" t="s">
        <v>22</v>
      </c>
      <c r="C58" s="6" t="s">
        <v>214</v>
      </c>
      <c r="D58" s="7">
        <v>-550.0</v>
      </c>
      <c r="E58" s="5" t="s">
        <v>13</v>
      </c>
      <c r="F58" s="17">
        <f t="shared" si="2"/>
        <v>-550</v>
      </c>
      <c r="G58" s="8" t="s">
        <v>14</v>
      </c>
      <c r="H58" s="17"/>
    </row>
    <row r="59" ht="22.5" customHeight="1">
      <c r="A59" s="4">
        <v>45851.0</v>
      </c>
      <c r="B59" s="5" t="s">
        <v>22</v>
      </c>
      <c r="C59" s="6" t="s">
        <v>215</v>
      </c>
      <c r="D59" s="7">
        <v>-840.0</v>
      </c>
      <c r="E59" s="5" t="s">
        <v>13</v>
      </c>
      <c r="F59" s="17">
        <f t="shared" si="2"/>
        <v>-840</v>
      </c>
      <c r="G59" s="8" t="s">
        <v>14</v>
      </c>
      <c r="H59" s="17"/>
    </row>
    <row r="60" ht="22.5" customHeight="1">
      <c r="A60" s="4">
        <v>45851.0</v>
      </c>
      <c r="B60" s="5" t="s">
        <v>22</v>
      </c>
      <c r="C60" s="6" t="s">
        <v>211</v>
      </c>
      <c r="D60" s="7">
        <v>-127.0</v>
      </c>
      <c r="E60" s="5" t="s">
        <v>13</v>
      </c>
      <c r="F60" s="17">
        <f t="shared" si="2"/>
        <v>-127</v>
      </c>
      <c r="G60" s="8" t="s">
        <v>14</v>
      </c>
      <c r="H60" s="17"/>
    </row>
    <row r="61" ht="22.5" customHeight="1">
      <c r="A61" s="4">
        <v>45851.0</v>
      </c>
      <c r="B61" s="5" t="s">
        <v>30</v>
      </c>
      <c r="C61" s="6" t="s">
        <v>31</v>
      </c>
      <c r="D61" s="7">
        <v>-20.0</v>
      </c>
      <c r="E61" s="5" t="s">
        <v>13</v>
      </c>
      <c r="F61" s="17">
        <f t="shared" si="2"/>
        <v>-20</v>
      </c>
      <c r="G61" s="8" t="s">
        <v>14</v>
      </c>
      <c r="H61" s="17"/>
    </row>
    <row r="62" ht="22.5" customHeight="1">
      <c r="A62" s="4">
        <v>45851.0</v>
      </c>
      <c r="B62" s="5" t="s">
        <v>22</v>
      </c>
      <c r="C62" s="27">
        <v>45849.0</v>
      </c>
      <c r="D62" s="7">
        <v>-64.0</v>
      </c>
      <c r="E62" s="5" t="s">
        <v>13</v>
      </c>
      <c r="F62" s="17">
        <f t="shared" si="2"/>
        <v>-64</v>
      </c>
      <c r="G62" s="8" t="s">
        <v>14</v>
      </c>
      <c r="H62" s="17"/>
    </row>
    <row r="63" ht="22.5" customHeight="1">
      <c r="A63" s="4">
        <v>45851.0</v>
      </c>
      <c r="B63" s="5" t="s">
        <v>30</v>
      </c>
      <c r="C63" s="1" t="s">
        <v>31</v>
      </c>
      <c r="D63" s="7">
        <v>-27.0</v>
      </c>
      <c r="E63" s="5" t="s">
        <v>13</v>
      </c>
      <c r="F63" s="17">
        <f t="shared" si="2"/>
        <v>-27</v>
      </c>
      <c r="G63" s="8" t="s">
        <v>14</v>
      </c>
      <c r="H63" s="17"/>
    </row>
    <row r="64" ht="22.5" customHeight="1">
      <c r="A64" s="4">
        <v>45852.0</v>
      </c>
      <c r="B64" s="5" t="s">
        <v>22</v>
      </c>
      <c r="C64" s="6" t="s">
        <v>27</v>
      </c>
      <c r="D64" s="7">
        <v>-718.0</v>
      </c>
      <c r="E64" s="5" t="s">
        <v>13</v>
      </c>
      <c r="F64" s="17">
        <f t="shared" si="2"/>
        <v>-718</v>
      </c>
      <c r="G64" s="8" t="s">
        <v>14</v>
      </c>
      <c r="H64" s="17"/>
    </row>
    <row r="65" ht="22.5" customHeight="1">
      <c r="A65" s="4">
        <v>45853.0</v>
      </c>
      <c r="B65" s="5" t="s">
        <v>22</v>
      </c>
      <c r="C65" s="6" t="s">
        <v>211</v>
      </c>
      <c r="D65" s="7">
        <v>-121.0</v>
      </c>
      <c r="E65" s="5" t="s">
        <v>13</v>
      </c>
      <c r="F65" s="17">
        <f t="shared" si="2"/>
        <v>-121</v>
      </c>
      <c r="G65" s="8" t="s">
        <v>14</v>
      </c>
      <c r="H65" s="17"/>
    </row>
    <row r="66" ht="22.5" customHeight="1">
      <c r="A66" s="4">
        <v>45854.0</v>
      </c>
      <c r="B66" s="5" t="s">
        <v>22</v>
      </c>
      <c r="C66" s="27">
        <v>45849.0</v>
      </c>
      <c r="D66" s="7">
        <v>-110.0</v>
      </c>
      <c r="E66" s="5" t="s">
        <v>13</v>
      </c>
      <c r="F66" s="17">
        <f t="shared" si="2"/>
        <v>-110</v>
      </c>
      <c r="G66" s="8" t="s">
        <v>14</v>
      </c>
      <c r="H66" s="17"/>
    </row>
    <row r="67" ht="22.5" customHeight="1">
      <c r="A67" s="4">
        <v>45854.0</v>
      </c>
      <c r="B67" s="5" t="s">
        <v>22</v>
      </c>
      <c r="C67" s="6" t="s">
        <v>211</v>
      </c>
      <c r="D67" s="7">
        <v>-81.0</v>
      </c>
      <c r="E67" s="5" t="s">
        <v>13</v>
      </c>
      <c r="F67" s="17">
        <f t="shared" si="2"/>
        <v>-81</v>
      </c>
      <c r="G67" s="8" t="s">
        <v>14</v>
      </c>
      <c r="H67" s="17"/>
    </row>
    <row r="68" ht="22.5" customHeight="1">
      <c r="A68" s="4">
        <v>45854.0</v>
      </c>
      <c r="B68" s="5" t="s">
        <v>22</v>
      </c>
      <c r="C68" s="6" t="s">
        <v>211</v>
      </c>
      <c r="D68" s="7">
        <v>-69.0</v>
      </c>
      <c r="E68" s="5" t="s">
        <v>13</v>
      </c>
      <c r="F68" s="17">
        <f t="shared" si="2"/>
        <v>-69</v>
      </c>
      <c r="G68" s="8" t="s">
        <v>14</v>
      </c>
      <c r="H68" s="17"/>
    </row>
    <row r="69" ht="22.5" customHeight="1">
      <c r="A69" s="4">
        <v>45855.0</v>
      </c>
      <c r="B69" s="5" t="s">
        <v>22</v>
      </c>
      <c r="C69" s="6" t="s">
        <v>211</v>
      </c>
      <c r="D69" s="7">
        <v>-97.0</v>
      </c>
      <c r="E69" s="5" t="s">
        <v>13</v>
      </c>
      <c r="F69" s="17">
        <f t="shared" si="2"/>
        <v>-97</v>
      </c>
      <c r="G69" s="8" t="s">
        <v>14</v>
      </c>
      <c r="H69" s="17"/>
    </row>
    <row r="70" ht="22.5" customHeight="1">
      <c r="A70" s="4">
        <v>45855.0</v>
      </c>
      <c r="B70" s="5" t="s">
        <v>17</v>
      </c>
      <c r="C70" s="1" t="s">
        <v>216</v>
      </c>
      <c r="D70" s="7">
        <v>-3490.0</v>
      </c>
      <c r="E70" s="5" t="s">
        <v>13</v>
      </c>
      <c r="F70" s="17">
        <f t="shared" si="2"/>
        <v>-3490</v>
      </c>
      <c r="G70" s="8" t="s">
        <v>14</v>
      </c>
      <c r="H70" s="17"/>
    </row>
    <row r="71" ht="22.5" customHeight="1">
      <c r="A71" s="4">
        <v>45856.0</v>
      </c>
      <c r="B71" s="5" t="s">
        <v>22</v>
      </c>
      <c r="C71" s="6" t="s">
        <v>211</v>
      </c>
      <c r="D71" s="7">
        <v>-66.0</v>
      </c>
      <c r="E71" s="5" t="s">
        <v>13</v>
      </c>
      <c r="F71" s="17">
        <f t="shared" si="2"/>
        <v>-66</v>
      </c>
      <c r="G71" s="8" t="s">
        <v>14</v>
      </c>
      <c r="H71" s="17"/>
    </row>
    <row r="72" ht="22.5" customHeight="1">
      <c r="A72" s="4">
        <v>45857.0</v>
      </c>
      <c r="B72" s="5" t="s">
        <v>22</v>
      </c>
      <c r="C72" s="1" t="s">
        <v>156</v>
      </c>
      <c r="D72" s="7">
        <v>-200.0</v>
      </c>
      <c r="E72" s="5" t="s">
        <v>13</v>
      </c>
      <c r="F72" s="17">
        <f t="shared" si="2"/>
        <v>-200</v>
      </c>
      <c r="G72" s="8" t="s">
        <v>14</v>
      </c>
      <c r="H72" s="17"/>
    </row>
    <row r="73" ht="22.5" customHeight="1">
      <c r="A73" s="4">
        <v>45857.0</v>
      </c>
      <c r="B73" s="5" t="s">
        <v>22</v>
      </c>
      <c r="C73" s="6" t="s">
        <v>211</v>
      </c>
      <c r="D73" s="7">
        <v>-58.0</v>
      </c>
      <c r="E73" s="5" t="s">
        <v>13</v>
      </c>
      <c r="F73" s="17">
        <f t="shared" si="2"/>
        <v>-58</v>
      </c>
      <c r="G73" s="8" t="s">
        <v>14</v>
      </c>
      <c r="H73" s="17"/>
    </row>
    <row r="74" ht="22.5" customHeight="1">
      <c r="A74" s="4">
        <v>45857.0</v>
      </c>
      <c r="B74" s="5" t="s">
        <v>22</v>
      </c>
      <c r="C74" s="1" t="s">
        <v>140</v>
      </c>
      <c r="D74" s="7">
        <v>-332.0</v>
      </c>
      <c r="E74" s="5" t="s">
        <v>13</v>
      </c>
      <c r="F74" s="17">
        <f t="shared" si="2"/>
        <v>-332</v>
      </c>
      <c r="G74" s="8" t="s">
        <v>14</v>
      </c>
      <c r="H74" s="17"/>
    </row>
    <row r="75" ht="22.5" customHeight="1">
      <c r="A75" s="4">
        <v>45857.0</v>
      </c>
      <c r="B75" s="5" t="s">
        <v>22</v>
      </c>
      <c r="C75" s="1" t="s">
        <v>217</v>
      </c>
      <c r="D75" s="7">
        <v>-195.0</v>
      </c>
      <c r="E75" s="5" t="s">
        <v>13</v>
      </c>
      <c r="F75" s="17">
        <f t="shared" si="2"/>
        <v>-195</v>
      </c>
      <c r="G75" s="8" t="s">
        <v>14</v>
      </c>
      <c r="H75" s="17"/>
    </row>
    <row r="76" ht="22.5" customHeight="1">
      <c r="A76" s="4">
        <v>45858.0</v>
      </c>
      <c r="B76" s="5" t="s">
        <v>17</v>
      </c>
      <c r="C76" s="1" t="s">
        <v>150</v>
      </c>
      <c r="D76" s="7">
        <v>-1006.0</v>
      </c>
      <c r="E76" s="5" t="s">
        <v>13</v>
      </c>
      <c r="F76" s="17">
        <f t="shared" si="2"/>
        <v>-1006</v>
      </c>
      <c r="G76" s="8" t="s">
        <v>14</v>
      </c>
      <c r="H76" s="17"/>
    </row>
    <row r="77" ht="22.5" customHeight="1">
      <c r="A77" s="4">
        <v>45859.0</v>
      </c>
      <c r="B77" s="5" t="s">
        <v>22</v>
      </c>
      <c r="C77" s="1" t="s">
        <v>218</v>
      </c>
      <c r="D77" s="7">
        <v>-134.0</v>
      </c>
      <c r="E77" s="5" t="s">
        <v>13</v>
      </c>
      <c r="F77" s="17">
        <f t="shared" si="2"/>
        <v>-134</v>
      </c>
      <c r="G77" s="8" t="s">
        <v>14</v>
      </c>
      <c r="H77" s="17"/>
    </row>
    <row r="78" ht="22.5" customHeight="1">
      <c r="A78" s="4">
        <v>45859.0</v>
      </c>
      <c r="B78" s="5" t="s">
        <v>22</v>
      </c>
      <c r="C78" s="1" t="s">
        <v>27</v>
      </c>
      <c r="D78" s="7">
        <v>-749.0</v>
      </c>
      <c r="E78" s="5" t="s">
        <v>13</v>
      </c>
      <c r="F78" s="17">
        <f t="shared" si="2"/>
        <v>-749</v>
      </c>
      <c r="G78" s="8" t="s">
        <v>14</v>
      </c>
      <c r="H78" s="17"/>
    </row>
    <row r="79" ht="22.5" customHeight="1">
      <c r="A79" s="4">
        <v>45860.0</v>
      </c>
      <c r="B79" s="5" t="s">
        <v>22</v>
      </c>
      <c r="C79" s="27">
        <v>45849.0</v>
      </c>
      <c r="D79" s="7">
        <v>-114.0</v>
      </c>
      <c r="E79" s="5" t="s">
        <v>13</v>
      </c>
      <c r="F79" s="17">
        <f t="shared" si="2"/>
        <v>-114</v>
      </c>
      <c r="G79" s="8" t="s">
        <v>14</v>
      </c>
      <c r="H79" s="17"/>
    </row>
    <row r="80" ht="22.5" customHeight="1">
      <c r="A80" s="4">
        <v>45860.0</v>
      </c>
      <c r="B80" s="5" t="s">
        <v>22</v>
      </c>
      <c r="C80" s="6" t="s">
        <v>211</v>
      </c>
      <c r="D80" s="7">
        <v>-90.0</v>
      </c>
      <c r="E80" s="5" t="s">
        <v>13</v>
      </c>
      <c r="F80" s="17">
        <f t="shared" si="2"/>
        <v>-90</v>
      </c>
      <c r="G80" s="8" t="s">
        <v>14</v>
      </c>
      <c r="H80" s="17"/>
    </row>
    <row r="81" ht="22.5" customHeight="1">
      <c r="A81" s="4">
        <v>45861.0</v>
      </c>
      <c r="B81" s="5" t="s">
        <v>22</v>
      </c>
      <c r="C81" s="6" t="s">
        <v>211</v>
      </c>
      <c r="D81" s="7">
        <v>-87.0</v>
      </c>
      <c r="E81" s="5" t="s">
        <v>13</v>
      </c>
      <c r="F81" s="17">
        <f t="shared" si="2"/>
        <v>-87</v>
      </c>
      <c r="G81" s="8" t="s">
        <v>14</v>
      </c>
      <c r="H81" s="17"/>
    </row>
    <row r="82" ht="22.5" customHeight="1">
      <c r="A82" s="4">
        <v>45862.0</v>
      </c>
      <c r="B82" s="5" t="s">
        <v>22</v>
      </c>
      <c r="C82" s="6" t="s">
        <v>211</v>
      </c>
      <c r="D82" s="7">
        <v>-83.0</v>
      </c>
      <c r="E82" s="5" t="s">
        <v>13</v>
      </c>
      <c r="F82" s="17">
        <f t="shared" si="2"/>
        <v>-83</v>
      </c>
      <c r="G82" s="8" t="s">
        <v>14</v>
      </c>
      <c r="H82" s="17"/>
    </row>
    <row r="83" ht="22.5" customHeight="1">
      <c r="A83" s="4">
        <v>45862.0</v>
      </c>
      <c r="B83" s="5" t="s">
        <v>22</v>
      </c>
      <c r="C83" s="6" t="s">
        <v>211</v>
      </c>
      <c r="D83" s="7">
        <v>-65.0</v>
      </c>
      <c r="E83" s="5" t="s">
        <v>13</v>
      </c>
      <c r="F83" s="17">
        <f t="shared" si="2"/>
        <v>-65</v>
      </c>
      <c r="G83" s="8" t="s">
        <v>14</v>
      </c>
      <c r="H83" s="17"/>
    </row>
    <row r="84" ht="22.5" customHeight="1">
      <c r="A84" s="4">
        <v>45862.0</v>
      </c>
      <c r="B84" s="5" t="s">
        <v>22</v>
      </c>
      <c r="C84" s="6" t="s">
        <v>211</v>
      </c>
      <c r="D84" s="7">
        <v>-55.0</v>
      </c>
      <c r="E84" s="5" t="s">
        <v>13</v>
      </c>
      <c r="F84" s="17">
        <f t="shared" si="2"/>
        <v>-55</v>
      </c>
      <c r="G84" s="8" t="s">
        <v>14</v>
      </c>
      <c r="H84" s="17"/>
    </row>
    <row r="85" ht="22.5" customHeight="1">
      <c r="A85" s="4">
        <v>45863.0</v>
      </c>
      <c r="B85" s="5" t="s">
        <v>22</v>
      </c>
      <c r="C85" s="1" t="s">
        <v>162</v>
      </c>
      <c r="D85" s="7">
        <v>-93.0</v>
      </c>
      <c r="E85" s="5" t="s">
        <v>13</v>
      </c>
      <c r="F85" s="17">
        <f t="shared" si="2"/>
        <v>-93</v>
      </c>
      <c r="G85" s="8" t="s">
        <v>14</v>
      </c>
      <c r="H85" s="17"/>
    </row>
    <row r="86" ht="22.5" customHeight="1">
      <c r="A86" s="4">
        <v>45864.0</v>
      </c>
      <c r="B86" s="5" t="s">
        <v>22</v>
      </c>
      <c r="C86" s="1" t="s">
        <v>162</v>
      </c>
      <c r="D86" s="7">
        <v>-218.0</v>
      </c>
      <c r="E86" s="5" t="s">
        <v>13</v>
      </c>
      <c r="F86" s="17">
        <f t="shared" si="2"/>
        <v>-218</v>
      </c>
      <c r="G86" s="8" t="s">
        <v>14</v>
      </c>
      <c r="H86" s="17"/>
    </row>
    <row r="87" ht="22.5" customHeight="1">
      <c r="A87" s="4">
        <v>45865.0</v>
      </c>
      <c r="B87" s="5" t="s">
        <v>22</v>
      </c>
      <c r="C87" s="1" t="s">
        <v>37</v>
      </c>
      <c r="D87" s="7">
        <v>-110.0</v>
      </c>
      <c r="E87" s="5" t="s">
        <v>13</v>
      </c>
      <c r="F87" s="17">
        <f t="shared" si="2"/>
        <v>-110</v>
      </c>
      <c r="G87" s="8" t="s">
        <v>14</v>
      </c>
      <c r="H87" s="17"/>
    </row>
    <row r="88" ht="22.5" customHeight="1">
      <c r="A88" s="4">
        <v>45865.0</v>
      </c>
      <c r="B88" s="5" t="s">
        <v>22</v>
      </c>
      <c r="C88" s="1" t="s">
        <v>29</v>
      </c>
      <c r="D88" s="7">
        <v>-2398.0</v>
      </c>
      <c r="E88" s="5" t="s">
        <v>13</v>
      </c>
      <c r="F88" s="17">
        <f t="shared" si="2"/>
        <v>-2398</v>
      </c>
      <c r="G88" s="8" t="s">
        <v>16</v>
      </c>
      <c r="H88" s="17"/>
    </row>
    <row r="89" ht="22.5" customHeight="1">
      <c r="A89" s="4">
        <v>45865.0</v>
      </c>
      <c r="B89" s="5" t="s">
        <v>22</v>
      </c>
      <c r="C89" s="1" t="s">
        <v>219</v>
      </c>
      <c r="D89" s="7">
        <v>-95.0</v>
      </c>
      <c r="E89" s="5" t="s">
        <v>13</v>
      </c>
      <c r="F89" s="17">
        <f t="shared" si="2"/>
        <v>-95</v>
      </c>
      <c r="G89" s="8" t="s">
        <v>14</v>
      </c>
      <c r="H89" s="17"/>
    </row>
    <row r="90" ht="22.5" customHeight="1">
      <c r="A90" s="4">
        <v>45866.0</v>
      </c>
      <c r="B90" s="5" t="s">
        <v>22</v>
      </c>
      <c r="C90" s="1" t="s">
        <v>37</v>
      </c>
      <c r="D90" s="7">
        <v>-55.0</v>
      </c>
      <c r="E90" s="5" t="s">
        <v>13</v>
      </c>
      <c r="F90" s="17">
        <f t="shared" si="2"/>
        <v>-55</v>
      </c>
      <c r="G90" s="8" t="s">
        <v>14</v>
      </c>
      <c r="H90" s="17"/>
    </row>
    <row r="91" ht="22.5" customHeight="1">
      <c r="A91" s="4">
        <v>45866.0</v>
      </c>
      <c r="B91" s="5" t="s">
        <v>22</v>
      </c>
      <c r="C91" s="1" t="s">
        <v>24</v>
      </c>
      <c r="D91" s="7">
        <v>-458.0</v>
      </c>
      <c r="E91" s="5" t="s">
        <v>13</v>
      </c>
      <c r="F91" s="17">
        <f t="shared" si="2"/>
        <v>-458</v>
      </c>
      <c r="G91" s="8" t="s">
        <v>14</v>
      </c>
      <c r="H91" s="17"/>
    </row>
    <row r="92" ht="22.5" customHeight="1">
      <c r="A92" s="4">
        <v>45866.0</v>
      </c>
      <c r="B92" s="5" t="s">
        <v>17</v>
      </c>
      <c r="C92" s="1" t="s">
        <v>220</v>
      </c>
      <c r="D92" s="7">
        <v>-100.0</v>
      </c>
      <c r="E92" s="5" t="s">
        <v>13</v>
      </c>
      <c r="F92" s="17">
        <f t="shared" si="2"/>
        <v>-100</v>
      </c>
      <c r="G92" s="8" t="s">
        <v>14</v>
      </c>
      <c r="H92" s="17"/>
    </row>
    <row r="93" ht="22.5" customHeight="1">
      <c r="A93" s="4">
        <v>45866.0</v>
      </c>
      <c r="B93" s="5" t="s">
        <v>17</v>
      </c>
      <c r="C93" s="1" t="s">
        <v>19</v>
      </c>
      <c r="D93" s="7">
        <v>-3100.0</v>
      </c>
      <c r="E93" s="5" t="s">
        <v>13</v>
      </c>
      <c r="F93" s="17">
        <f t="shared" si="2"/>
        <v>-3100</v>
      </c>
      <c r="G93" s="8" t="s">
        <v>14</v>
      </c>
      <c r="H93" s="17"/>
    </row>
    <row r="94" ht="22.5" customHeight="1">
      <c r="A94" s="4">
        <v>45867.0</v>
      </c>
      <c r="B94" s="5" t="s">
        <v>22</v>
      </c>
      <c r="C94" s="27">
        <v>45849.0</v>
      </c>
      <c r="D94" s="7">
        <v>-114.0</v>
      </c>
      <c r="E94" s="5" t="s">
        <v>13</v>
      </c>
      <c r="F94" s="17">
        <f t="shared" si="2"/>
        <v>-114</v>
      </c>
      <c r="G94" s="8" t="s">
        <v>14</v>
      </c>
      <c r="H94" s="17"/>
    </row>
    <row r="95" ht="22.5" customHeight="1">
      <c r="A95" s="4">
        <v>45867.0</v>
      </c>
      <c r="B95" s="5" t="s">
        <v>22</v>
      </c>
      <c r="C95" s="6" t="s">
        <v>211</v>
      </c>
      <c r="D95" s="7">
        <v>-63.0</v>
      </c>
      <c r="E95" s="5" t="s">
        <v>13</v>
      </c>
      <c r="F95" s="17">
        <f t="shared" si="2"/>
        <v>-63</v>
      </c>
      <c r="G95" s="8" t="s">
        <v>14</v>
      </c>
      <c r="H95" s="17"/>
    </row>
    <row r="96" ht="22.5" customHeight="1">
      <c r="A96" s="4">
        <v>45868.0</v>
      </c>
      <c r="B96" s="5" t="s">
        <v>22</v>
      </c>
      <c r="C96" s="6" t="s">
        <v>211</v>
      </c>
      <c r="D96" s="7">
        <v>-74.0</v>
      </c>
      <c r="E96" s="5" t="s">
        <v>13</v>
      </c>
      <c r="F96" s="17">
        <f t="shared" si="2"/>
        <v>-74</v>
      </c>
      <c r="G96" s="8" t="s">
        <v>14</v>
      </c>
      <c r="H96" s="17"/>
    </row>
    <row r="97" ht="22.5" customHeight="1">
      <c r="A97" s="4">
        <v>45868.0</v>
      </c>
      <c r="B97" s="5" t="s">
        <v>22</v>
      </c>
      <c r="C97" s="27">
        <v>45849.0</v>
      </c>
      <c r="D97" s="7">
        <v>-82.0</v>
      </c>
      <c r="E97" s="5" t="s">
        <v>13</v>
      </c>
      <c r="F97" s="17">
        <f t="shared" si="2"/>
        <v>-82</v>
      </c>
      <c r="G97" s="8" t="s">
        <v>14</v>
      </c>
      <c r="H97" s="17"/>
    </row>
    <row r="98" ht="22.5" customHeight="1">
      <c r="A98" s="4">
        <v>45869.0</v>
      </c>
      <c r="B98" s="5" t="s">
        <v>50</v>
      </c>
      <c r="C98" s="1" t="s">
        <v>221</v>
      </c>
      <c r="D98" s="7">
        <v>-479.0</v>
      </c>
      <c r="E98" s="5" t="s">
        <v>13</v>
      </c>
      <c r="F98" s="17">
        <f t="shared" si="2"/>
        <v>-479</v>
      </c>
      <c r="G98" s="8" t="s">
        <v>14</v>
      </c>
      <c r="H98" s="17"/>
    </row>
    <row r="99" ht="22.5" customHeight="1">
      <c r="A99" s="4"/>
      <c r="B99" s="36"/>
      <c r="C99" s="1"/>
      <c r="D99" s="7"/>
      <c r="E99" s="36"/>
      <c r="F99" s="17" t="str">
        <f t="shared" si="2"/>
        <v/>
      </c>
      <c r="G99" s="17"/>
      <c r="H99" s="17"/>
    </row>
    <row r="100" ht="22.5" customHeight="1">
      <c r="A100" s="4"/>
      <c r="B100" s="36"/>
      <c r="C100" s="1"/>
      <c r="D100" s="7"/>
      <c r="E100" s="36"/>
      <c r="F100" s="17" t="str">
        <f t="shared" si="2"/>
        <v/>
      </c>
      <c r="G100" s="17"/>
      <c r="H100" s="17"/>
    </row>
    <row r="101" ht="22.5" customHeight="1">
      <c r="A101" s="4"/>
      <c r="B101" s="36"/>
      <c r="C101" s="1"/>
      <c r="D101" s="7"/>
      <c r="E101" s="36"/>
      <c r="F101" s="17" t="str">
        <f t="shared" si="2"/>
        <v/>
      </c>
      <c r="G101" s="17"/>
      <c r="H101" s="17"/>
    </row>
    <row r="102" ht="22.5" customHeight="1">
      <c r="A102" s="10"/>
      <c r="B102" s="31"/>
      <c r="C102" s="15"/>
      <c r="D102" s="32"/>
      <c r="E102" s="31"/>
      <c r="F102" s="26">
        <f>SUM(July[TWD])</f>
        <v>-12477.04445</v>
      </c>
      <c r="G102" s="26"/>
      <c r="H102" s="26"/>
    </row>
  </sheetData>
  <dataValidations>
    <dataValidation type="list" allowBlank="1" sqref="B2:B101">
      <formula1>"Income,Trasportation,Accommdation,Others,Food,Entertainment "</formula1>
    </dataValidation>
    <dataValidation type="list" allowBlank="1" sqref="E2:E101">
      <formula1>"AUD,TWD,Yen"</formula1>
    </dataValidation>
    <dataValidation type="custom" allowBlank="1" showDropDown="1" sqref="A2:A101">
      <formula1>OR(NOT(ISERROR(DATEVALUE(A2))), AND(ISNUMBER(A2), LEFT(CELL("format", A2))="D"))</formula1>
    </dataValidation>
    <dataValidation type="custom" allowBlank="1" showDropDown="1" sqref="D2:D101">
      <formula1>AND(ISNUMBER(D2),(NOT(OR(NOT(ISERROR(DATEVALUE(D2))), AND(ISNUMBER(D2), LEFT(CELL("format", D2))="D")))))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H7"/>
    <hyperlink r:id="rId8" ref="G8"/>
    <hyperlink r:id="rId9" ref="H8"/>
    <hyperlink r:id="rId10" ref="G9"/>
    <hyperlink r:id="rId11" ref="H9"/>
    <hyperlink r:id="rId12" ref="G10"/>
    <hyperlink r:id="rId13" ref="H10"/>
    <hyperlink r:id="rId14" ref="G11"/>
    <hyperlink r:id="rId15" ref="H11"/>
    <hyperlink r:id="rId16" ref="G12"/>
    <hyperlink r:id="rId17" ref="H12"/>
    <hyperlink r:id="rId18" ref="G13"/>
    <hyperlink r:id="rId19" ref="H13"/>
    <hyperlink r:id="rId20" ref="G14"/>
    <hyperlink r:id="rId21" ref="H14"/>
    <hyperlink r:id="rId22" ref="G15"/>
    <hyperlink r:id="rId23" ref="H15"/>
    <hyperlink r:id="rId24" ref="G16"/>
    <hyperlink r:id="rId25" ref="H16"/>
    <hyperlink r:id="rId26" ref="G17"/>
    <hyperlink r:id="rId27" ref="H17"/>
    <hyperlink r:id="rId28" ref="G18"/>
    <hyperlink r:id="rId29" ref="H18"/>
    <hyperlink r:id="rId30" ref="G19"/>
    <hyperlink r:id="rId31" ref="H19"/>
    <hyperlink r:id="rId32" ref="G20"/>
    <hyperlink r:id="rId33" ref="H20"/>
    <hyperlink r:id="rId34" ref="G21"/>
    <hyperlink r:id="rId35" ref="H21"/>
    <hyperlink r:id="rId36" ref="G22"/>
    <hyperlink r:id="rId37" ref="H22"/>
    <hyperlink r:id="rId38" ref="G23"/>
    <hyperlink r:id="rId39" ref="H23"/>
    <hyperlink r:id="rId40" ref="G24"/>
    <hyperlink r:id="rId41" ref="H24"/>
    <hyperlink r:id="rId42" ref="G25"/>
    <hyperlink r:id="rId43" ref="H25"/>
    <hyperlink r:id="rId44" ref="G26"/>
    <hyperlink r:id="rId45" ref="H26"/>
    <hyperlink r:id="rId46" ref="G27"/>
    <hyperlink r:id="rId47" ref="H27"/>
    <hyperlink r:id="rId48" ref="G28"/>
    <hyperlink r:id="rId49" ref="H28"/>
    <hyperlink r:id="rId50" ref="G29"/>
    <hyperlink r:id="rId51" ref="H29"/>
    <hyperlink r:id="rId52" ref="G30"/>
    <hyperlink r:id="rId53" ref="H30"/>
    <hyperlink r:id="rId54" ref="G31"/>
    <hyperlink r:id="rId55" ref="H31"/>
    <hyperlink r:id="rId56" ref="G32"/>
    <hyperlink r:id="rId57" ref="H32"/>
    <hyperlink r:id="rId58" ref="G33"/>
    <hyperlink r:id="rId59" ref="H33"/>
    <hyperlink r:id="rId60" ref="G34"/>
    <hyperlink r:id="rId61" ref="H34"/>
    <hyperlink r:id="rId62" ref="G35"/>
    <hyperlink r:id="rId63" ref="H35"/>
    <hyperlink r:id="rId64" ref="G36"/>
    <hyperlink r:id="rId65" ref="H36"/>
    <hyperlink r:id="rId66" ref="G37"/>
    <hyperlink r:id="rId67" ref="G38"/>
    <hyperlink r:id="rId68" ref="G39"/>
    <hyperlink r:id="rId69" ref="G40"/>
    <hyperlink r:id="rId70" ref="G41"/>
    <hyperlink r:id="rId71" ref="G42"/>
    <hyperlink r:id="rId72" ref="G43"/>
    <hyperlink r:id="rId73" ref="G44"/>
    <hyperlink r:id="rId74" ref="G45"/>
    <hyperlink r:id="rId75" ref="G46"/>
    <hyperlink r:id="rId76" ref="G47"/>
    <hyperlink r:id="rId77" ref="G48"/>
    <hyperlink r:id="rId78" ref="G49"/>
    <hyperlink r:id="rId79" ref="G50"/>
    <hyperlink r:id="rId80" ref="G51"/>
    <hyperlink r:id="rId81" ref="G52"/>
    <hyperlink r:id="rId82" ref="G53"/>
    <hyperlink r:id="rId83" ref="G54"/>
    <hyperlink r:id="rId84" ref="G55"/>
    <hyperlink r:id="rId85" ref="G56"/>
    <hyperlink r:id="rId86" ref="G57"/>
    <hyperlink r:id="rId87" ref="G58"/>
    <hyperlink r:id="rId88" ref="G59"/>
    <hyperlink r:id="rId89" ref="G60"/>
    <hyperlink r:id="rId90" ref="G61"/>
    <hyperlink r:id="rId91" ref="G62"/>
    <hyperlink r:id="rId92" ref="G63"/>
    <hyperlink r:id="rId93" ref="G64"/>
    <hyperlink r:id="rId94" ref="G65"/>
    <hyperlink r:id="rId95" ref="G66"/>
    <hyperlink r:id="rId96" ref="G67"/>
    <hyperlink r:id="rId97" ref="G68"/>
    <hyperlink r:id="rId98" ref="G69"/>
    <hyperlink r:id="rId99" ref="G70"/>
    <hyperlink r:id="rId100" ref="G71"/>
    <hyperlink r:id="rId101" ref="G72"/>
    <hyperlink r:id="rId102" ref="G73"/>
    <hyperlink r:id="rId103" ref="G74"/>
    <hyperlink r:id="rId104" ref="G75"/>
    <hyperlink r:id="rId105" ref="G76"/>
    <hyperlink r:id="rId106" ref="G77"/>
    <hyperlink r:id="rId107" ref="G78"/>
    <hyperlink r:id="rId108" ref="G79"/>
    <hyperlink r:id="rId109" ref="G80"/>
    <hyperlink r:id="rId110" ref="G81"/>
    <hyperlink r:id="rId111" ref="G82"/>
    <hyperlink r:id="rId112" ref="G83"/>
    <hyperlink r:id="rId113" ref="G84"/>
    <hyperlink r:id="rId114" ref="G85"/>
    <hyperlink r:id="rId115" ref="G86"/>
    <hyperlink r:id="rId116" ref="G87"/>
    <hyperlink r:id="rId117" ref="G88"/>
    <hyperlink r:id="rId118" ref="G89"/>
    <hyperlink r:id="rId119" ref="G90"/>
    <hyperlink r:id="rId120" ref="G91"/>
    <hyperlink r:id="rId121" ref="G92"/>
    <hyperlink r:id="rId122" ref="G93"/>
    <hyperlink r:id="rId123" ref="G94"/>
    <hyperlink r:id="rId124" ref="G95"/>
    <hyperlink r:id="rId125" ref="G96"/>
    <hyperlink r:id="rId126" ref="G97"/>
    <hyperlink r:id="rId127" ref="G98"/>
  </hyperlinks>
  <drawing r:id="rId128"/>
  <tableParts count="1">
    <tablePart r:id="rId130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13</v>
      </c>
      <c r="G1" s="2" t="s">
        <v>5</v>
      </c>
      <c r="H1" s="2" t="s">
        <v>118</v>
      </c>
    </row>
    <row r="2" ht="22.5" customHeight="1">
      <c r="A2" s="4">
        <v>45870.0</v>
      </c>
      <c r="B2" s="5" t="s">
        <v>11</v>
      </c>
      <c r="C2" s="6" t="s">
        <v>12</v>
      </c>
      <c r="D2" s="7">
        <v>28000.0</v>
      </c>
      <c r="E2" s="5" t="s">
        <v>13</v>
      </c>
      <c r="F2" s="17">
        <f t="shared" ref="F2:F10" si="1">D2*1</f>
        <v>28000</v>
      </c>
      <c r="G2" s="8" t="s">
        <v>14</v>
      </c>
      <c r="H2" s="17"/>
    </row>
    <row r="3" ht="22.5" customHeight="1">
      <c r="A3" s="4">
        <v>45870.0</v>
      </c>
      <c r="B3" s="5" t="s">
        <v>11</v>
      </c>
      <c r="C3" s="6" t="s">
        <v>15</v>
      </c>
      <c r="D3" s="7">
        <v>22000.0</v>
      </c>
      <c r="E3" s="5" t="s">
        <v>13</v>
      </c>
      <c r="F3" s="17">
        <f t="shared" si="1"/>
        <v>22000</v>
      </c>
      <c r="G3" s="8" t="s">
        <v>16</v>
      </c>
      <c r="H3" s="17"/>
    </row>
    <row r="4" ht="22.5" customHeight="1">
      <c r="A4" s="4">
        <v>45870.0</v>
      </c>
      <c r="B4" s="5" t="s">
        <v>58</v>
      </c>
      <c r="C4" s="6" t="s">
        <v>159</v>
      </c>
      <c r="D4" s="7">
        <v>-12000.0</v>
      </c>
      <c r="E4" s="5" t="s">
        <v>13</v>
      </c>
      <c r="F4" s="17">
        <f t="shared" si="1"/>
        <v>-12000</v>
      </c>
      <c r="G4" s="8" t="s">
        <v>14</v>
      </c>
      <c r="H4" s="17"/>
    </row>
    <row r="5" ht="22.5" customHeight="1">
      <c r="A5" s="4">
        <v>45870.0</v>
      </c>
      <c r="B5" s="5" t="s">
        <v>17</v>
      </c>
      <c r="C5" s="6" t="s">
        <v>20</v>
      </c>
      <c r="D5" s="7">
        <v>-660.0</v>
      </c>
      <c r="E5" s="5" t="s">
        <v>13</v>
      </c>
      <c r="F5" s="17">
        <f t="shared" si="1"/>
        <v>-660</v>
      </c>
      <c r="G5" s="8" t="s">
        <v>14</v>
      </c>
      <c r="H5" s="17"/>
    </row>
    <row r="6" ht="22.5" customHeight="1">
      <c r="A6" s="4">
        <v>45870.0</v>
      </c>
      <c r="B6" s="5" t="s">
        <v>17</v>
      </c>
      <c r="C6" s="6" t="s">
        <v>21</v>
      </c>
      <c r="D6" s="7">
        <v>-479.0</v>
      </c>
      <c r="E6" s="5" t="s">
        <v>13</v>
      </c>
      <c r="F6" s="17">
        <f t="shared" si="1"/>
        <v>-479</v>
      </c>
      <c r="G6" s="8" t="s">
        <v>14</v>
      </c>
      <c r="H6" s="17"/>
    </row>
    <row r="7" ht="22.5" customHeight="1">
      <c r="A7" s="4">
        <v>45870.0</v>
      </c>
      <c r="B7" s="5" t="s">
        <v>22</v>
      </c>
      <c r="C7" s="6" t="s">
        <v>222</v>
      </c>
      <c r="D7" s="7">
        <v>-363.0</v>
      </c>
      <c r="E7" s="5" t="s">
        <v>13</v>
      </c>
      <c r="F7" s="17">
        <f t="shared" si="1"/>
        <v>-363</v>
      </c>
      <c r="G7" s="8" t="s">
        <v>14</v>
      </c>
      <c r="H7" s="17"/>
    </row>
    <row r="8" ht="22.5" customHeight="1">
      <c r="A8" s="4">
        <v>45870.0</v>
      </c>
      <c r="B8" s="5" t="s">
        <v>17</v>
      </c>
      <c r="C8" s="6" t="s">
        <v>223</v>
      </c>
      <c r="D8" s="7">
        <v>-349.0</v>
      </c>
      <c r="E8" s="5" t="s">
        <v>13</v>
      </c>
      <c r="F8" s="17">
        <f t="shared" si="1"/>
        <v>-349</v>
      </c>
      <c r="G8" s="8" t="s">
        <v>14</v>
      </c>
      <c r="H8" s="17"/>
    </row>
    <row r="9" ht="22.5" customHeight="1">
      <c r="A9" s="4">
        <v>45870.0</v>
      </c>
      <c r="B9" s="5" t="s">
        <v>22</v>
      </c>
      <c r="C9" s="1" t="s">
        <v>76</v>
      </c>
      <c r="D9" s="7">
        <v>-136.0</v>
      </c>
      <c r="E9" s="5" t="s">
        <v>13</v>
      </c>
      <c r="F9" s="17">
        <f t="shared" si="1"/>
        <v>-136</v>
      </c>
      <c r="G9" s="8" t="s">
        <v>14</v>
      </c>
      <c r="H9" s="17"/>
    </row>
    <row r="10" ht="22.5" customHeight="1">
      <c r="A10" s="4">
        <v>45870.0</v>
      </c>
      <c r="B10" s="5" t="s">
        <v>22</v>
      </c>
      <c r="C10" s="1" t="s">
        <v>155</v>
      </c>
      <c r="D10" s="7">
        <v>-82.0</v>
      </c>
      <c r="E10" s="5" t="s">
        <v>13</v>
      </c>
      <c r="F10" s="17">
        <f t="shared" si="1"/>
        <v>-82</v>
      </c>
      <c r="G10" s="8" t="s">
        <v>14</v>
      </c>
      <c r="H10" s="17"/>
    </row>
    <row r="11" ht="22.5" customHeight="1">
      <c r="A11" s="4">
        <v>45871.0</v>
      </c>
      <c r="B11" s="5" t="s">
        <v>22</v>
      </c>
      <c r="C11" s="1" t="s">
        <v>76</v>
      </c>
      <c r="D11" s="7">
        <v>-80.0</v>
      </c>
      <c r="E11" s="5" t="s">
        <v>13</v>
      </c>
      <c r="F11" s="17">
        <f t="shared" ref="F11:F91" si="2">D11</f>
        <v>-80</v>
      </c>
      <c r="G11" s="8" t="s">
        <v>14</v>
      </c>
      <c r="H11" s="17"/>
    </row>
    <row r="12" ht="22.5" customHeight="1">
      <c r="A12" s="4">
        <v>45871.0</v>
      </c>
      <c r="B12" s="5" t="s">
        <v>22</v>
      </c>
      <c r="C12" s="27">
        <v>45849.0</v>
      </c>
      <c r="D12" s="7">
        <v>-134.0</v>
      </c>
      <c r="E12" s="5" t="s">
        <v>13</v>
      </c>
      <c r="F12" s="17">
        <f t="shared" si="2"/>
        <v>-134</v>
      </c>
      <c r="G12" s="8" t="s">
        <v>14</v>
      </c>
      <c r="H12" s="17"/>
    </row>
    <row r="13" ht="22.5" customHeight="1">
      <c r="A13" s="4">
        <v>45871.0</v>
      </c>
      <c r="B13" s="5" t="s">
        <v>22</v>
      </c>
      <c r="C13" s="1" t="s">
        <v>37</v>
      </c>
      <c r="D13" s="7">
        <v>-85.0</v>
      </c>
      <c r="E13" s="5" t="s">
        <v>13</v>
      </c>
      <c r="F13" s="17">
        <f t="shared" si="2"/>
        <v>-85</v>
      </c>
      <c r="G13" s="8" t="s">
        <v>14</v>
      </c>
      <c r="H13" s="17"/>
    </row>
    <row r="14" ht="22.5" customHeight="1">
      <c r="A14" s="4">
        <v>45871.0</v>
      </c>
      <c r="B14" s="5" t="s">
        <v>22</v>
      </c>
      <c r="C14" s="1" t="s">
        <v>224</v>
      </c>
      <c r="D14" s="7">
        <v>-160.0</v>
      </c>
      <c r="E14" s="5" t="s">
        <v>13</v>
      </c>
      <c r="F14" s="17">
        <f t="shared" si="2"/>
        <v>-160</v>
      </c>
      <c r="G14" s="8" t="s">
        <v>14</v>
      </c>
      <c r="H14" s="17"/>
    </row>
    <row r="15" ht="22.5" customHeight="1">
      <c r="A15" s="4">
        <v>45872.0</v>
      </c>
      <c r="B15" s="5" t="s">
        <v>22</v>
      </c>
      <c r="C15" s="1" t="s">
        <v>225</v>
      </c>
      <c r="D15" s="7">
        <v>-550.0</v>
      </c>
      <c r="E15" s="5" t="s">
        <v>13</v>
      </c>
      <c r="F15" s="17">
        <f t="shared" si="2"/>
        <v>-550</v>
      </c>
      <c r="G15" s="8" t="s">
        <v>14</v>
      </c>
      <c r="H15" s="17"/>
    </row>
    <row r="16" ht="22.5" customHeight="1">
      <c r="A16" s="4">
        <v>45872.0</v>
      </c>
      <c r="B16" s="5" t="s">
        <v>22</v>
      </c>
      <c r="C16" s="1" t="s">
        <v>169</v>
      </c>
      <c r="D16" s="7">
        <v>-294.0</v>
      </c>
      <c r="E16" s="5" t="s">
        <v>13</v>
      </c>
      <c r="F16" s="17">
        <f t="shared" si="2"/>
        <v>-294</v>
      </c>
      <c r="G16" s="8" t="s">
        <v>14</v>
      </c>
      <c r="H16" s="17"/>
    </row>
    <row r="17" ht="22.5" customHeight="1">
      <c r="A17" s="4">
        <v>45873.0</v>
      </c>
      <c r="B17" s="5" t="s">
        <v>22</v>
      </c>
      <c r="C17" s="1" t="s">
        <v>226</v>
      </c>
      <c r="D17" s="7">
        <v>-165.0</v>
      </c>
      <c r="E17" s="5" t="s">
        <v>13</v>
      </c>
      <c r="F17" s="17">
        <f t="shared" si="2"/>
        <v>-165</v>
      </c>
      <c r="G17" s="8" t="s">
        <v>14</v>
      </c>
      <c r="H17" s="17"/>
    </row>
    <row r="18" ht="22.5" customHeight="1">
      <c r="A18" s="4">
        <v>45875.0</v>
      </c>
      <c r="B18" s="5" t="s">
        <v>22</v>
      </c>
      <c r="C18" s="1" t="s">
        <v>226</v>
      </c>
      <c r="D18" s="7">
        <v>-137.0</v>
      </c>
      <c r="E18" s="5" t="s">
        <v>13</v>
      </c>
      <c r="F18" s="17">
        <f t="shared" si="2"/>
        <v>-137</v>
      </c>
      <c r="G18" s="8" t="s">
        <v>14</v>
      </c>
      <c r="H18" s="17"/>
    </row>
    <row r="19" ht="22.5" customHeight="1">
      <c r="A19" s="4">
        <v>45876.0</v>
      </c>
      <c r="B19" s="5" t="s">
        <v>22</v>
      </c>
      <c r="C19" s="1" t="s">
        <v>27</v>
      </c>
      <c r="D19" s="7">
        <v>-53.0</v>
      </c>
      <c r="E19" s="5" t="s">
        <v>13</v>
      </c>
      <c r="F19" s="17">
        <f t="shared" si="2"/>
        <v>-53</v>
      </c>
      <c r="G19" s="8" t="s">
        <v>14</v>
      </c>
      <c r="H19" s="17"/>
    </row>
    <row r="20" ht="22.5" customHeight="1">
      <c r="A20" s="4">
        <v>45876.0</v>
      </c>
      <c r="B20" s="5" t="s">
        <v>22</v>
      </c>
      <c r="C20" s="1" t="s">
        <v>226</v>
      </c>
      <c r="D20" s="7">
        <v>-137.0</v>
      </c>
      <c r="E20" s="5" t="s">
        <v>13</v>
      </c>
      <c r="F20" s="17">
        <f t="shared" si="2"/>
        <v>-137</v>
      </c>
      <c r="G20" s="8" t="s">
        <v>14</v>
      </c>
      <c r="H20" s="17"/>
    </row>
    <row r="21" ht="22.5" customHeight="1">
      <c r="A21" s="4">
        <v>45877.0</v>
      </c>
      <c r="B21" s="5" t="s">
        <v>30</v>
      </c>
      <c r="C21" s="1" t="s">
        <v>31</v>
      </c>
      <c r="D21" s="7">
        <v>-30.0</v>
      </c>
      <c r="E21" s="5" t="s">
        <v>13</v>
      </c>
      <c r="F21" s="17">
        <f t="shared" si="2"/>
        <v>-30</v>
      </c>
      <c r="G21" s="8" t="s">
        <v>14</v>
      </c>
      <c r="H21" s="17"/>
    </row>
    <row r="22" ht="22.5" customHeight="1">
      <c r="A22" s="4">
        <v>45877.0</v>
      </c>
      <c r="B22" s="5" t="s">
        <v>22</v>
      </c>
      <c r="C22" s="1" t="s">
        <v>227</v>
      </c>
      <c r="D22" s="7">
        <v>-149.0</v>
      </c>
      <c r="E22" s="5" t="s">
        <v>13</v>
      </c>
      <c r="F22" s="17">
        <f t="shared" si="2"/>
        <v>-149</v>
      </c>
      <c r="G22" s="8" t="s">
        <v>16</v>
      </c>
      <c r="H22" s="17"/>
    </row>
    <row r="23" ht="22.5" customHeight="1">
      <c r="A23" s="4">
        <v>45877.0</v>
      </c>
      <c r="B23" s="5" t="s">
        <v>22</v>
      </c>
      <c r="C23" s="1" t="s">
        <v>227</v>
      </c>
      <c r="D23" s="7">
        <v>-1396.0</v>
      </c>
      <c r="E23" s="5" t="s">
        <v>13</v>
      </c>
      <c r="F23" s="17">
        <f t="shared" si="2"/>
        <v>-1396</v>
      </c>
      <c r="G23" s="8" t="s">
        <v>16</v>
      </c>
      <c r="H23" s="17"/>
    </row>
    <row r="24" ht="22.5" customHeight="1">
      <c r="A24" s="4">
        <v>45877.0</v>
      </c>
      <c r="B24" s="5" t="s">
        <v>22</v>
      </c>
      <c r="C24" s="1" t="s">
        <v>228</v>
      </c>
      <c r="D24" s="7">
        <v>-285.0</v>
      </c>
      <c r="E24" s="5" t="s">
        <v>13</v>
      </c>
      <c r="F24" s="17">
        <f t="shared" si="2"/>
        <v>-285</v>
      </c>
      <c r="G24" s="8" t="s">
        <v>14</v>
      </c>
      <c r="H24" s="17"/>
    </row>
    <row r="25" ht="22.5" customHeight="1">
      <c r="A25" s="4">
        <v>45877.0</v>
      </c>
      <c r="B25" s="5" t="s">
        <v>17</v>
      </c>
      <c r="C25" s="1" t="s">
        <v>229</v>
      </c>
      <c r="D25" s="7">
        <v>-440.0</v>
      </c>
      <c r="E25" s="5" t="s">
        <v>13</v>
      </c>
      <c r="F25" s="17">
        <f t="shared" si="2"/>
        <v>-440</v>
      </c>
      <c r="G25" s="8" t="s">
        <v>14</v>
      </c>
      <c r="H25" s="17"/>
    </row>
    <row r="26" ht="22.5" customHeight="1">
      <c r="A26" s="4">
        <v>45877.0</v>
      </c>
      <c r="B26" s="5" t="s">
        <v>22</v>
      </c>
      <c r="C26" s="1" t="s">
        <v>226</v>
      </c>
      <c r="D26" s="7">
        <v>-78.0</v>
      </c>
      <c r="E26" s="5" t="s">
        <v>13</v>
      </c>
      <c r="F26" s="17">
        <f t="shared" si="2"/>
        <v>-78</v>
      </c>
      <c r="G26" s="8" t="s">
        <v>14</v>
      </c>
      <c r="H26" s="17"/>
    </row>
    <row r="27" ht="22.5" customHeight="1">
      <c r="A27" s="4">
        <v>45877.0</v>
      </c>
      <c r="B27" s="5" t="s">
        <v>22</v>
      </c>
      <c r="C27" s="1" t="s">
        <v>226</v>
      </c>
      <c r="D27" s="7">
        <v>-106.0</v>
      </c>
      <c r="E27" s="5" t="s">
        <v>13</v>
      </c>
      <c r="F27" s="17">
        <f t="shared" si="2"/>
        <v>-106</v>
      </c>
      <c r="G27" s="8" t="s">
        <v>14</v>
      </c>
      <c r="H27" s="17"/>
    </row>
    <row r="28" ht="22.5" customHeight="1">
      <c r="A28" s="4">
        <v>45878.0</v>
      </c>
      <c r="B28" s="5" t="s">
        <v>22</v>
      </c>
      <c r="C28" s="1" t="s">
        <v>230</v>
      </c>
      <c r="D28" s="7">
        <v>-1029.0</v>
      </c>
      <c r="E28" s="5" t="s">
        <v>13</v>
      </c>
      <c r="F28" s="17">
        <f t="shared" si="2"/>
        <v>-1029</v>
      </c>
      <c r="G28" s="8" t="s">
        <v>14</v>
      </c>
      <c r="H28" s="17"/>
    </row>
    <row r="29" ht="22.5" customHeight="1">
      <c r="A29" s="4">
        <v>45878.0</v>
      </c>
      <c r="B29" s="5" t="s">
        <v>22</v>
      </c>
      <c r="C29" s="1" t="s">
        <v>231</v>
      </c>
      <c r="D29" s="7">
        <v>-290.0</v>
      </c>
      <c r="E29" s="5" t="s">
        <v>13</v>
      </c>
      <c r="F29" s="17">
        <f t="shared" si="2"/>
        <v>-290</v>
      </c>
      <c r="G29" s="8" t="s">
        <v>14</v>
      </c>
      <c r="H29" s="17"/>
    </row>
    <row r="30" ht="22.5" customHeight="1">
      <c r="A30" s="4">
        <v>45879.0</v>
      </c>
      <c r="B30" s="5" t="s">
        <v>22</v>
      </c>
      <c r="C30" s="1" t="s">
        <v>226</v>
      </c>
      <c r="D30" s="7">
        <v>-127.0</v>
      </c>
      <c r="E30" s="5" t="s">
        <v>13</v>
      </c>
      <c r="F30" s="17">
        <f t="shared" si="2"/>
        <v>-127</v>
      </c>
      <c r="G30" s="8" t="s">
        <v>14</v>
      </c>
      <c r="H30" s="17"/>
    </row>
    <row r="31" ht="22.5" customHeight="1">
      <c r="A31" s="4">
        <v>45879.0</v>
      </c>
      <c r="B31" s="5" t="s">
        <v>22</v>
      </c>
      <c r="C31" s="1" t="s">
        <v>27</v>
      </c>
      <c r="D31" s="7">
        <v>-709.0</v>
      </c>
      <c r="E31" s="5" t="s">
        <v>13</v>
      </c>
      <c r="F31" s="17">
        <f t="shared" si="2"/>
        <v>-709</v>
      </c>
      <c r="G31" s="8" t="s">
        <v>14</v>
      </c>
      <c r="H31" s="17"/>
    </row>
    <row r="32" ht="22.5" customHeight="1">
      <c r="A32" s="4">
        <v>45879.0</v>
      </c>
      <c r="B32" s="5" t="s">
        <v>58</v>
      </c>
      <c r="C32" s="1"/>
      <c r="D32" s="7">
        <v>-54000.0</v>
      </c>
      <c r="E32" s="5" t="s">
        <v>13</v>
      </c>
      <c r="F32" s="17">
        <f t="shared" si="2"/>
        <v>-54000</v>
      </c>
      <c r="G32" s="8" t="s">
        <v>14</v>
      </c>
      <c r="H32" s="17"/>
    </row>
    <row r="33" ht="22.5" customHeight="1">
      <c r="A33" s="4">
        <v>45880.0</v>
      </c>
      <c r="B33" s="5" t="s">
        <v>22</v>
      </c>
      <c r="C33" s="1" t="s">
        <v>232</v>
      </c>
      <c r="D33" s="7">
        <v>-112.0</v>
      </c>
      <c r="E33" s="5" t="s">
        <v>13</v>
      </c>
      <c r="F33" s="17">
        <f t="shared" si="2"/>
        <v>-112</v>
      </c>
      <c r="G33" s="8" t="s">
        <v>14</v>
      </c>
      <c r="H33" s="17"/>
    </row>
    <row r="34" ht="22.5" customHeight="1">
      <c r="A34" s="4">
        <v>45880.0</v>
      </c>
      <c r="B34" s="5" t="s">
        <v>22</v>
      </c>
      <c r="C34" s="1" t="s">
        <v>226</v>
      </c>
      <c r="D34" s="7">
        <v>-84.0</v>
      </c>
      <c r="E34" s="5" t="s">
        <v>13</v>
      </c>
      <c r="F34" s="17">
        <f t="shared" si="2"/>
        <v>-84</v>
      </c>
      <c r="G34" s="8" t="s">
        <v>14</v>
      </c>
      <c r="H34" s="17"/>
    </row>
    <row r="35" ht="22.5" customHeight="1">
      <c r="A35" s="4">
        <v>45883.0</v>
      </c>
      <c r="B35" s="5" t="s">
        <v>22</v>
      </c>
      <c r="C35" s="27">
        <v>45849.0</v>
      </c>
      <c r="D35" s="7">
        <v>-120.0</v>
      </c>
      <c r="E35" s="5" t="s">
        <v>13</v>
      </c>
      <c r="F35" s="17">
        <f t="shared" si="2"/>
        <v>-120</v>
      </c>
      <c r="G35" s="8" t="s">
        <v>14</v>
      </c>
      <c r="H35" s="17"/>
    </row>
    <row r="36" ht="22.5" customHeight="1">
      <c r="A36" s="4">
        <v>45884.0</v>
      </c>
      <c r="B36" s="5" t="s">
        <v>22</v>
      </c>
      <c r="C36" s="1" t="s">
        <v>233</v>
      </c>
      <c r="D36" s="7">
        <v>-480.0</v>
      </c>
      <c r="E36" s="5" t="s">
        <v>13</v>
      </c>
      <c r="F36" s="17">
        <f t="shared" si="2"/>
        <v>-480</v>
      </c>
      <c r="G36" s="8" t="s">
        <v>14</v>
      </c>
      <c r="H36" s="17"/>
    </row>
    <row r="37" ht="22.5" customHeight="1">
      <c r="A37" s="4">
        <v>45884.0</v>
      </c>
      <c r="B37" s="5" t="s">
        <v>22</v>
      </c>
      <c r="C37" s="1" t="s">
        <v>155</v>
      </c>
      <c r="D37" s="7">
        <v>-116.0</v>
      </c>
      <c r="E37" s="5" t="s">
        <v>13</v>
      </c>
      <c r="F37" s="17">
        <f t="shared" si="2"/>
        <v>-116</v>
      </c>
      <c r="G37" s="8" t="s">
        <v>14</v>
      </c>
      <c r="H37" s="17"/>
    </row>
    <row r="38" ht="22.5" customHeight="1">
      <c r="A38" s="4">
        <v>45884.0</v>
      </c>
      <c r="B38" s="5" t="s">
        <v>17</v>
      </c>
      <c r="C38" s="1" t="s">
        <v>234</v>
      </c>
      <c r="D38" s="7">
        <v>-7030.0</v>
      </c>
      <c r="E38" s="5" t="s">
        <v>13</v>
      </c>
      <c r="F38" s="17">
        <f t="shared" si="2"/>
        <v>-7030</v>
      </c>
      <c r="G38" s="8" t="s">
        <v>14</v>
      </c>
      <c r="H38" s="17"/>
    </row>
    <row r="39" ht="22.5" customHeight="1">
      <c r="A39" s="4">
        <v>45884.0</v>
      </c>
      <c r="B39" s="5" t="s">
        <v>30</v>
      </c>
      <c r="C39" s="1" t="s">
        <v>31</v>
      </c>
      <c r="D39" s="7">
        <v>-60.0</v>
      </c>
      <c r="E39" s="5" t="s">
        <v>13</v>
      </c>
      <c r="F39" s="17">
        <f t="shared" si="2"/>
        <v>-60</v>
      </c>
      <c r="G39" s="8" t="s">
        <v>14</v>
      </c>
      <c r="H39" s="17"/>
    </row>
    <row r="40" ht="22.5" customHeight="1">
      <c r="A40" s="4">
        <v>45884.0</v>
      </c>
      <c r="B40" s="5" t="s">
        <v>22</v>
      </c>
      <c r="C40" s="1" t="s">
        <v>226</v>
      </c>
      <c r="D40" s="7">
        <v>-107.0</v>
      </c>
      <c r="E40" s="5" t="s">
        <v>13</v>
      </c>
      <c r="F40" s="17">
        <f t="shared" si="2"/>
        <v>-107</v>
      </c>
      <c r="G40" s="8" t="s">
        <v>14</v>
      </c>
      <c r="H40" s="17"/>
    </row>
    <row r="41" ht="22.5" customHeight="1">
      <c r="A41" s="4">
        <v>45885.0</v>
      </c>
      <c r="B41" s="5" t="s">
        <v>30</v>
      </c>
      <c r="C41" s="1" t="s">
        <v>31</v>
      </c>
      <c r="D41" s="7">
        <v>-40.0</v>
      </c>
      <c r="E41" s="5" t="s">
        <v>13</v>
      </c>
      <c r="F41" s="17">
        <f t="shared" si="2"/>
        <v>-40</v>
      </c>
      <c r="G41" s="8" t="s">
        <v>14</v>
      </c>
      <c r="H41" s="17"/>
    </row>
    <row r="42" ht="22.5" customHeight="1">
      <c r="A42" s="4">
        <v>45885.0</v>
      </c>
      <c r="B42" s="5" t="s">
        <v>22</v>
      </c>
      <c r="C42" s="1" t="s">
        <v>169</v>
      </c>
      <c r="D42" s="7">
        <v>-90.0</v>
      </c>
      <c r="E42" s="5" t="s">
        <v>13</v>
      </c>
      <c r="F42" s="17">
        <f t="shared" si="2"/>
        <v>-90</v>
      </c>
      <c r="G42" s="8" t="s">
        <v>14</v>
      </c>
      <c r="H42" s="17"/>
    </row>
    <row r="43" ht="22.5" customHeight="1">
      <c r="A43" s="4">
        <v>45885.0</v>
      </c>
      <c r="B43" s="5" t="s">
        <v>22</v>
      </c>
      <c r="C43" s="1" t="s">
        <v>225</v>
      </c>
      <c r="D43" s="7">
        <v>-810.0</v>
      </c>
      <c r="E43" s="5" t="s">
        <v>13</v>
      </c>
      <c r="F43" s="17">
        <f t="shared" si="2"/>
        <v>-810</v>
      </c>
      <c r="G43" s="8" t="s">
        <v>14</v>
      </c>
      <c r="H43" s="17"/>
    </row>
    <row r="44" ht="22.5" customHeight="1">
      <c r="A44" s="4">
        <v>45885.0</v>
      </c>
      <c r="B44" s="5" t="s">
        <v>22</v>
      </c>
      <c r="C44" s="1" t="s">
        <v>226</v>
      </c>
      <c r="D44" s="7">
        <v>-107.0</v>
      </c>
      <c r="E44" s="5" t="s">
        <v>13</v>
      </c>
      <c r="F44" s="17">
        <f t="shared" si="2"/>
        <v>-107</v>
      </c>
      <c r="G44" s="8" t="s">
        <v>14</v>
      </c>
      <c r="H44" s="17"/>
    </row>
    <row r="45" ht="22.5" customHeight="1">
      <c r="A45" s="4">
        <v>45885.0</v>
      </c>
      <c r="B45" s="5" t="s">
        <v>17</v>
      </c>
      <c r="C45" s="1" t="s">
        <v>235</v>
      </c>
      <c r="D45" s="7">
        <v>-380.0</v>
      </c>
      <c r="E45" s="5" t="s">
        <v>13</v>
      </c>
      <c r="F45" s="17">
        <f t="shared" si="2"/>
        <v>-380</v>
      </c>
      <c r="G45" s="8" t="s">
        <v>14</v>
      </c>
      <c r="H45" s="17"/>
    </row>
    <row r="46" ht="22.5" customHeight="1">
      <c r="A46" s="4">
        <v>45886.0</v>
      </c>
      <c r="B46" s="5" t="s">
        <v>22</v>
      </c>
      <c r="C46" s="1" t="s">
        <v>37</v>
      </c>
      <c r="D46" s="7">
        <v>-100.0</v>
      </c>
      <c r="E46" s="5" t="s">
        <v>13</v>
      </c>
      <c r="F46" s="17">
        <f t="shared" si="2"/>
        <v>-100</v>
      </c>
      <c r="G46" s="8" t="s">
        <v>14</v>
      </c>
      <c r="H46" s="17"/>
    </row>
    <row r="47" ht="22.5" customHeight="1">
      <c r="A47" s="4">
        <v>45886.0</v>
      </c>
      <c r="B47" s="5" t="s">
        <v>22</v>
      </c>
      <c r="C47" s="1" t="s">
        <v>152</v>
      </c>
      <c r="D47" s="7">
        <v>-935.0</v>
      </c>
      <c r="E47" s="5" t="s">
        <v>13</v>
      </c>
      <c r="F47" s="17">
        <f t="shared" si="2"/>
        <v>-935</v>
      </c>
      <c r="G47" s="8" t="s">
        <v>14</v>
      </c>
      <c r="H47" s="17"/>
    </row>
    <row r="48" ht="22.5" customHeight="1">
      <c r="A48" s="4">
        <v>45886.0</v>
      </c>
      <c r="B48" s="5" t="s">
        <v>17</v>
      </c>
      <c r="C48" s="1" t="s">
        <v>236</v>
      </c>
      <c r="D48" s="7">
        <v>-200.0</v>
      </c>
      <c r="E48" s="5" t="s">
        <v>13</v>
      </c>
      <c r="F48" s="17">
        <f t="shared" si="2"/>
        <v>-200</v>
      </c>
      <c r="G48" s="8" t="s">
        <v>14</v>
      </c>
      <c r="H48" s="17"/>
    </row>
    <row r="49" ht="22.5" customHeight="1">
      <c r="A49" s="4">
        <v>45887.0</v>
      </c>
      <c r="B49" s="5" t="s">
        <v>22</v>
      </c>
      <c r="C49" s="1" t="s">
        <v>237</v>
      </c>
      <c r="D49" s="7">
        <v>-80.0</v>
      </c>
      <c r="E49" s="5" t="s">
        <v>13</v>
      </c>
      <c r="F49" s="17">
        <f t="shared" si="2"/>
        <v>-80</v>
      </c>
      <c r="G49" s="8" t="s">
        <v>14</v>
      </c>
      <c r="H49" s="17"/>
    </row>
    <row r="50" ht="22.5" customHeight="1">
      <c r="A50" s="4">
        <v>45887.0</v>
      </c>
      <c r="B50" s="5" t="s">
        <v>22</v>
      </c>
      <c r="C50" s="1" t="s">
        <v>226</v>
      </c>
      <c r="D50" s="7">
        <v>-78.0</v>
      </c>
      <c r="E50" s="5" t="s">
        <v>13</v>
      </c>
      <c r="F50" s="17">
        <f t="shared" si="2"/>
        <v>-78</v>
      </c>
      <c r="G50" s="8" t="s">
        <v>14</v>
      </c>
      <c r="H50" s="17"/>
    </row>
    <row r="51" ht="22.5" customHeight="1">
      <c r="A51" s="4">
        <v>45888.0</v>
      </c>
      <c r="B51" s="5" t="s">
        <v>22</v>
      </c>
      <c r="C51" s="1" t="s">
        <v>37</v>
      </c>
      <c r="D51" s="7">
        <v>-80.0</v>
      </c>
      <c r="E51" s="5" t="s">
        <v>13</v>
      </c>
      <c r="F51" s="17">
        <f t="shared" si="2"/>
        <v>-80</v>
      </c>
      <c r="G51" s="8" t="s">
        <v>14</v>
      </c>
      <c r="H51" s="17"/>
    </row>
    <row r="52" ht="22.5" customHeight="1">
      <c r="A52" s="4">
        <v>45888.0</v>
      </c>
      <c r="B52" s="5" t="s">
        <v>22</v>
      </c>
      <c r="C52" s="1" t="s">
        <v>226</v>
      </c>
      <c r="D52" s="7">
        <v>-83.0</v>
      </c>
      <c r="E52" s="5" t="s">
        <v>13</v>
      </c>
      <c r="F52" s="17">
        <f t="shared" si="2"/>
        <v>-83</v>
      </c>
      <c r="G52" s="8" t="s">
        <v>14</v>
      </c>
      <c r="H52" s="17"/>
    </row>
    <row r="53" ht="22.5" customHeight="1">
      <c r="A53" s="4">
        <v>45888.0</v>
      </c>
      <c r="B53" s="5" t="s">
        <v>22</v>
      </c>
      <c r="C53" s="1" t="s">
        <v>226</v>
      </c>
      <c r="D53" s="7">
        <v>-102.0</v>
      </c>
      <c r="E53" s="5" t="s">
        <v>13</v>
      </c>
      <c r="F53" s="17">
        <f t="shared" si="2"/>
        <v>-102</v>
      </c>
      <c r="G53" s="8" t="s">
        <v>14</v>
      </c>
      <c r="H53" s="17"/>
    </row>
    <row r="54" ht="22.5" customHeight="1">
      <c r="A54" s="4">
        <v>45889.0</v>
      </c>
      <c r="B54" s="5" t="s">
        <v>22</v>
      </c>
      <c r="C54" s="1" t="s">
        <v>37</v>
      </c>
      <c r="D54" s="7">
        <v>-40.0</v>
      </c>
      <c r="E54" s="5" t="s">
        <v>13</v>
      </c>
      <c r="F54" s="17">
        <f t="shared" si="2"/>
        <v>-40</v>
      </c>
      <c r="G54" s="8" t="s">
        <v>14</v>
      </c>
      <c r="H54" s="17"/>
    </row>
    <row r="55" ht="22.5" customHeight="1">
      <c r="A55" s="4">
        <v>45889.0</v>
      </c>
      <c r="B55" s="5" t="s">
        <v>30</v>
      </c>
      <c r="C55" s="1" t="s">
        <v>31</v>
      </c>
      <c r="D55" s="7">
        <v>-45.0</v>
      </c>
      <c r="E55" s="5" t="s">
        <v>13</v>
      </c>
      <c r="F55" s="17">
        <f t="shared" si="2"/>
        <v>-45</v>
      </c>
      <c r="G55" s="8" t="s">
        <v>14</v>
      </c>
      <c r="H55" s="17"/>
    </row>
    <row r="56" ht="22.5" customHeight="1">
      <c r="A56" s="4">
        <v>45889.0</v>
      </c>
      <c r="B56" s="5" t="s">
        <v>22</v>
      </c>
      <c r="C56" s="1" t="s">
        <v>66</v>
      </c>
      <c r="D56" s="7">
        <v>-506.0</v>
      </c>
      <c r="E56" s="5" t="s">
        <v>13</v>
      </c>
      <c r="F56" s="17">
        <f t="shared" si="2"/>
        <v>-506</v>
      </c>
      <c r="G56" s="8" t="s">
        <v>14</v>
      </c>
      <c r="H56" s="17"/>
    </row>
    <row r="57" ht="22.5" customHeight="1">
      <c r="A57" s="4">
        <v>45889.0</v>
      </c>
      <c r="B57" s="5" t="s">
        <v>22</v>
      </c>
      <c r="C57" s="1" t="s">
        <v>238</v>
      </c>
      <c r="D57" s="7">
        <v>-440.0</v>
      </c>
      <c r="E57" s="5" t="s">
        <v>13</v>
      </c>
      <c r="F57" s="17">
        <f t="shared" si="2"/>
        <v>-440</v>
      </c>
      <c r="G57" s="8" t="s">
        <v>14</v>
      </c>
      <c r="H57" s="17"/>
    </row>
    <row r="58" ht="22.5" customHeight="1">
      <c r="A58" s="4">
        <v>45889.0</v>
      </c>
      <c r="B58" s="5" t="s">
        <v>17</v>
      </c>
      <c r="C58" s="1" t="s">
        <v>239</v>
      </c>
      <c r="D58" s="7">
        <v>-890.0</v>
      </c>
      <c r="E58" s="5" t="s">
        <v>13</v>
      </c>
      <c r="F58" s="17">
        <f t="shared" si="2"/>
        <v>-890</v>
      </c>
      <c r="G58" s="8" t="s">
        <v>14</v>
      </c>
      <c r="H58" s="17"/>
    </row>
    <row r="59" ht="22.5" customHeight="1">
      <c r="A59" s="4">
        <v>45889.0</v>
      </c>
      <c r="B59" s="5" t="s">
        <v>17</v>
      </c>
      <c r="C59" s="1" t="s">
        <v>240</v>
      </c>
      <c r="D59" s="7">
        <v>-2232.0</v>
      </c>
      <c r="E59" s="5" t="s">
        <v>13</v>
      </c>
      <c r="F59" s="17">
        <f t="shared" si="2"/>
        <v>-2232</v>
      </c>
      <c r="G59" s="8" t="s">
        <v>14</v>
      </c>
      <c r="H59" s="17"/>
    </row>
    <row r="60" ht="22.5" customHeight="1">
      <c r="A60" s="4">
        <v>45889.0</v>
      </c>
      <c r="B60" s="5" t="s">
        <v>17</v>
      </c>
      <c r="C60" s="1" t="s">
        <v>34</v>
      </c>
      <c r="D60" s="7">
        <v>-387.0</v>
      </c>
      <c r="E60" s="5" t="s">
        <v>13</v>
      </c>
      <c r="F60" s="17">
        <f t="shared" si="2"/>
        <v>-387</v>
      </c>
      <c r="G60" s="8" t="s">
        <v>14</v>
      </c>
      <c r="H60" s="17"/>
    </row>
    <row r="61" ht="22.5" customHeight="1">
      <c r="A61" s="4">
        <v>45889.0</v>
      </c>
      <c r="B61" s="5" t="s">
        <v>17</v>
      </c>
      <c r="C61" s="1" t="s">
        <v>133</v>
      </c>
      <c r="D61" s="7">
        <v>-1643.0</v>
      </c>
      <c r="E61" s="5" t="s">
        <v>13</v>
      </c>
      <c r="F61" s="17">
        <f t="shared" si="2"/>
        <v>-1643</v>
      </c>
      <c r="G61" s="8" t="s">
        <v>14</v>
      </c>
      <c r="H61" s="17"/>
    </row>
    <row r="62" ht="22.5" customHeight="1">
      <c r="A62" s="4">
        <v>45889.0</v>
      </c>
      <c r="B62" s="5" t="s">
        <v>17</v>
      </c>
      <c r="C62" s="1" t="s">
        <v>33</v>
      </c>
      <c r="D62" s="7">
        <v>-528.0</v>
      </c>
      <c r="E62" s="5" t="s">
        <v>13</v>
      </c>
      <c r="F62" s="17">
        <f t="shared" si="2"/>
        <v>-528</v>
      </c>
      <c r="G62" s="8" t="s">
        <v>14</v>
      </c>
      <c r="H62" s="17"/>
    </row>
    <row r="63" ht="22.5" customHeight="1">
      <c r="A63" s="4">
        <v>45890.0</v>
      </c>
      <c r="B63" s="5" t="s">
        <v>22</v>
      </c>
      <c r="C63" s="1" t="s">
        <v>211</v>
      </c>
      <c r="D63" s="7">
        <v>-109.0</v>
      </c>
      <c r="E63" s="5" t="s">
        <v>13</v>
      </c>
      <c r="F63" s="17">
        <f t="shared" si="2"/>
        <v>-109</v>
      </c>
      <c r="G63" s="17"/>
      <c r="H63" s="17"/>
    </row>
    <row r="64" ht="22.5" customHeight="1">
      <c r="A64" s="4">
        <v>45891.0</v>
      </c>
      <c r="B64" s="5" t="s">
        <v>22</v>
      </c>
      <c r="C64" s="1" t="s">
        <v>211</v>
      </c>
      <c r="D64" s="7">
        <v>-131.0</v>
      </c>
      <c r="E64" s="5" t="s">
        <v>13</v>
      </c>
      <c r="F64" s="17">
        <f t="shared" si="2"/>
        <v>-131</v>
      </c>
      <c r="G64" s="17"/>
      <c r="H64" s="17"/>
    </row>
    <row r="65" ht="22.5" customHeight="1">
      <c r="A65" s="4">
        <v>45891.0</v>
      </c>
      <c r="B65" s="5" t="s">
        <v>22</v>
      </c>
      <c r="C65" s="1" t="s">
        <v>211</v>
      </c>
      <c r="D65" s="7">
        <v>-13.0</v>
      </c>
      <c r="E65" s="5" t="s">
        <v>13</v>
      </c>
      <c r="F65" s="17">
        <f t="shared" si="2"/>
        <v>-13</v>
      </c>
      <c r="G65" s="17"/>
      <c r="H65" s="17"/>
    </row>
    <row r="66" ht="22.5" customHeight="1">
      <c r="A66" s="4">
        <v>45892.0</v>
      </c>
      <c r="B66" s="5" t="s">
        <v>22</v>
      </c>
      <c r="C66" s="1" t="s">
        <v>211</v>
      </c>
      <c r="D66" s="7">
        <v>-134.0</v>
      </c>
      <c r="E66" s="5" t="s">
        <v>13</v>
      </c>
      <c r="F66" s="17">
        <f t="shared" si="2"/>
        <v>-134</v>
      </c>
      <c r="G66" s="17"/>
      <c r="H66" s="17"/>
    </row>
    <row r="67" ht="22.5" customHeight="1">
      <c r="A67" s="4">
        <v>45893.0</v>
      </c>
      <c r="B67" s="5" t="s">
        <v>22</v>
      </c>
      <c r="C67" s="1" t="s">
        <v>27</v>
      </c>
      <c r="D67" s="7">
        <v>-440.0</v>
      </c>
      <c r="E67" s="5" t="s">
        <v>13</v>
      </c>
      <c r="F67" s="17">
        <f t="shared" si="2"/>
        <v>-440</v>
      </c>
      <c r="G67" s="17"/>
      <c r="H67" s="17"/>
    </row>
    <row r="68" ht="22.5" customHeight="1">
      <c r="A68" s="4">
        <v>45893.0</v>
      </c>
      <c r="B68" s="5" t="s">
        <v>22</v>
      </c>
      <c r="C68" s="1" t="s">
        <v>140</v>
      </c>
      <c r="D68" s="7">
        <v>-401.0</v>
      </c>
      <c r="E68" s="5" t="s">
        <v>13</v>
      </c>
      <c r="F68" s="17">
        <f t="shared" si="2"/>
        <v>-401</v>
      </c>
      <c r="G68" s="8" t="s">
        <v>14</v>
      </c>
      <c r="H68" s="17"/>
    </row>
    <row r="69" ht="22.5" customHeight="1">
      <c r="A69" s="4">
        <v>45893.0</v>
      </c>
      <c r="B69" s="5" t="s">
        <v>30</v>
      </c>
      <c r="C69" s="1" t="s">
        <v>31</v>
      </c>
      <c r="D69" s="7">
        <v>-27.0</v>
      </c>
      <c r="E69" s="5" t="s">
        <v>13</v>
      </c>
      <c r="F69" s="17">
        <f t="shared" si="2"/>
        <v>-27</v>
      </c>
      <c r="G69" s="8" t="s">
        <v>14</v>
      </c>
      <c r="H69" s="17"/>
    </row>
    <row r="70" ht="22.5" customHeight="1">
      <c r="A70" s="4">
        <v>45893.0</v>
      </c>
      <c r="B70" s="5" t="s">
        <v>22</v>
      </c>
      <c r="C70" s="1" t="s">
        <v>211</v>
      </c>
      <c r="D70" s="7">
        <v>-137.0</v>
      </c>
      <c r="E70" s="5" t="s">
        <v>13</v>
      </c>
      <c r="F70" s="17">
        <f t="shared" si="2"/>
        <v>-137</v>
      </c>
      <c r="G70" s="8" t="s">
        <v>14</v>
      </c>
      <c r="H70" s="17"/>
    </row>
    <row r="71" ht="22.5" customHeight="1">
      <c r="A71" s="4">
        <v>45893.0</v>
      </c>
      <c r="B71" s="5" t="s">
        <v>22</v>
      </c>
      <c r="C71" s="1" t="s">
        <v>27</v>
      </c>
      <c r="D71" s="7">
        <v>-903.0</v>
      </c>
      <c r="E71" s="5" t="s">
        <v>13</v>
      </c>
      <c r="F71" s="17">
        <f t="shared" si="2"/>
        <v>-903</v>
      </c>
      <c r="G71" s="8" t="s">
        <v>14</v>
      </c>
      <c r="H71" s="17"/>
    </row>
    <row r="72" ht="22.5" customHeight="1">
      <c r="A72" s="4">
        <v>45893.0</v>
      </c>
      <c r="B72" s="5" t="s">
        <v>22</v>
      </c>
      <c r="C72" s="1" t="s">
        <v>211</v>
      </c>
      <c r="D72" s="7">
        <v>-122.0</v>
      </c>
      <c r="E72" s="5" t="s">
        <v>13</v>
      </c>
      <c r="F72" s="17">
        <f t="shared" si="2"/>
        <v>-122</v>
      </c>
      <c r="G72" s="8" t="s">
        <v>14</v>
      </c>
      <c r="H72" s="17"/>
    </row>
    <row r="73" ht="22.5" customHeight="1">
      <c r="A73" s="4">
        <v>45893.0</v>
      </c>
      <c r="B73" s="5" t="s">
        <v>22</v>
      </c>
      <c r="C73" s="1" t="s">
        <v>211</v>
      </c>
      <c r="D73" s="7">
        <v>-13.0</v>
      </c>
      <c r="E73" s="5" t="s">
        <v>13</v>
      </c>
      <c r="F73" s="17">
        <f t="shared" si="2"/>
        <v>-13</v>
      </c>
      <c r="G73" s="8" t="s">
        <v>14</v>
      </c>
      <c r="H73" s="17"/>
    </row>
    <row r="74" ht="22.5" customHeight="1">
      <c r="A74" s="4">
        <v>45894.0</v>
      </c>
      <c r="B74" s="5" t="s">
        <v>22</v>
      </c>
      <c r="C74" s="1" t="s">
        <v>155</v>
      </c>
      <c r="D74" s="7">
        <v>-68.0</v>
      </c>
      <c r="E74" s="5" t="s">
        <v>13</v>
      </c>
      <c r="F74" s="17">
        <f t="shared" si="2"/>
        <v>-68</v>
      </c>
      <c r="G74" s="8" t="s">
        <v>14</v>
      </c>
      <c r="H74" s="17"/>
    </row>
    <row r="75" ht="22.5" customHeight="1">
      <c r="A75" s="4">
        <v>45894.0</v>
      </c>
      <c r="B75" s="5" t="s">
        <v>22</v>
      </c>
      <c r="C75" s="1" t="s">
        <v>24</v>
      </c>
      <c r="D75" s="7">
        <v>-219.0</v>
      </c>
      <c r="E75" s="5" t="s">
        <v>13</v>
      </c>
      <c r="F75" s="17">
        <f t="shared" si="2"/>
        <v>-219</v>
      </c>
      <c r="G75" s="8" t="s">
        <v>14</v>
      </c>
      <c r="H75" s="17"/>
    </row>
    <row r="76" ht="22.5" customHeight="1">
      <c r="A76" s="4">
        <v>45894.0</v>
      </c>
      <c r="B76" s="5" t="s">
        <v>22</v>
      </c>
      <c r="C76" s="1" t="s">
        <v>37</v>
      </c>
      <c r="D76" s="7">
        <v>-40.0</v>
      </c>
      <c r="E76" s="5" t="s">
        <v>13</v>
      </c>
      <c r="F76" s="17">
        <f t="shared" si="2"/>
        <v>-40</v>
      </c>
      <c r="G76" s="8" t="s">
        <v>14</v>
      </c>
      <c r="H76" s="17"/>
    </row>
    <row r="77" ht="22.5" customHeight="1">
      <c r="A77" s="4">
        <v>45894.0</v>
      </c>
      <c r="B77" s="5" t="s">
        <v>22</v>
      </c>
      <c r="C77" s="1" t="s">
        <v>211</v>
      </c>
      <c r="D77" s="7">
        <v>-137.0</v>
      </c>
      <c r="E77" s="5" t="s">
        <v>13</v>
      </c>
      <c r="F77" s="17">
        <f t="shared" si="2"/>
        <v>-137</v>
      </c>
      <c r="G77" s="8" t="s">
        <v>14</v>
      </c>
      <c r="H77" s="17"/>
    </row>
    <row r="78" ht="22.5" customHeight="1">
      <c r="A78" s="4">
        <v>45895.0</v>
      </c>
      <c r="B78" s="5" t="s">
        <v>22</v>
      </c>
      <c r="C78" s="1" t="s">
        <v>211</v>
      </c>
      <c r="D78" s="7">
        <v>-48.0</v>
      </c>
      <c r="E78" s="5" t="s">
        <v>13</v>
      </c>
      <c r="F78" s="17">
        <f t="shared" si="2"/>
        <v>-48</v>
      </c>
      <c r="G78" s="8" t="s">
        <v>14</v>
      </c>
      <c r="H78" s="17"/>
    </row>
    <row r="79" ht="22.5" customHeight="1">
      <c r="A79" s="4">
        <v>45896.0</v>
      </c>
      <c r="B79" s="5" t="s">
        <v>22</v>
      </c>
      <c r="C79" s="1" t="s">
        <v>211</v>
      </c>
      <c r="D79" s="7">
        <v>-132.0</v>
      </c>
      <c r="E79" s="5" t="s">
        <v>13</v>
      </c>
      <c r="F79" s="17">
        <f t="shared" si="2"/>
        <v>-132</v>
      </c>
      <c r="G79" s="8" t="s">
        <v>14</v>
      </c>
      <c r="H79" s="17"/>
    </row>
    <row r="80" ht="22.5" customHeight="1">
      <c r="A80" s="4">
        <v>45898.0</v>
      </c>
      <c r="B80" s="5" t="s">
        <v>22</v>
      </c>
      <c r="C80" s="1" t="s">
        <v>211</v>
      </c>
      <c r="D80" s="7">
        <v>-13.0</v>
      </c>
      <c r="E80" s="5" t="s">
        <v>13</v>
      </c>
      <c r="F80" s="17">
        <f t="shared" si="2"/>
        <v>-13</v>
      </c>
      <c r="G80" s="8" t="s">
        <v>14</v>
      </c>
      <c r="H80" s="17"/>
    </row>
    <row r="81" ht="22.5" customHeight="1">
      <c r="A81" s="4">
        <v>45899.0</v>
      </c>
      <c r="B81" s="5" t="s">
        <v>17</v>
      </c>
      <c r="C81" s="1" t="s">
        <v>241</v>
      </c>
      <c r="D81" s="7">
        <v>-3200.0</v>
      </c>
      <c r="E81" s="5" t="s">
        <v>13</v>
      </c>
      <c r="F81" s="17">
        <f t="shared" si="2"/>
        <v>-3200</v>
      </c>
      <c r="G81" s="8" t="s">
        <v>14</v>
      </c>
      <c r="H81" s="17"/>
    </row>
    <row r="82" ht="22.5" customHeight="1">
      <c r="A82" s="4">
        <v>45899.0</v>
      </c>
      <c r="B82" s="5" t="s">
        <v>22</v>
      </c>
      <c r="C82" s="1" t="s">
        <v>242</v>
      </c>
      <c r="D82" s="7">
        <v>-80.0</v>
      </c>
      <c r="E82" s="5" t="s">
        <v>13</v>
      </c>
      <c r="F82" s="17">
        <f t="shared" si="2"/>
        <v>-80</v>
      </c>
      <c r="G82" s="8" t="s">
        <v>14</v>
      </c>
      <c r="H82" s="17"/>
    </row>
    <row r="83" ht="22.5" customHeight="1">
      <c r="A83" s="4">
        <v>45899.0</v>
      </c>
      <c r="B83" s="5" t="s">
        <v>22</v>
      </c>
      <c r="C83" s="1" t="s">
        <v>152</v>
      </c>
      <c r="D83" s="7">
        <v>-935.0</v>
      </c>
      <c r="E83" s="5" t="s">
        <v>13</v>
      </c>
      <c r="F83" s="17">
        <f t="shared" si="2"/>
        <v>-935</v>
      </c>
      <c r="G83" s="8" t="s">
        <v>14</v>
      </c>
      <c r="H83" s="17"/>
    </row>
    <row r="84" ht="22.5" customHeight="1">
      <c r="A84" s="4">
        <v>45899.0</v>
      </c>
      <c r="B84" s="5" t="s">
        <v>22</v>
      </c>
      <c r="C84" s="1" t="s">
        <v>243</v>
      </c>
      <c r="D84" s="7">
        <v>-3449.0</v>
      </c>
      <c r="E84" s="5" t="s">
        <v>13</v>
      </c>
      <c r="F84" s="17">
        <f t="shared" si="2"/>
        <v>-3449</v>
      </c>
      <c r="G84" s="8" t="s">
        <v>16</v>
      </c>
      <c r="H84" s="17"/>
    </row>
    <row r="85" ht="22.5" customHeight="1">
      <c r="A85" s="4">
        <v>45899.0</v>
      </c>
      <c r="B85" s="5" t="s">
        <v>22</v>
      </c>
      <c r="C85" s="1" t="s">
        <v>243</v>
      </c>
      <c r="D85" s="7">
        <v>-50.0</v>
      </c>
      <c r="E85" s="5" t="s">
        <v>13</v>
      </c>
      <c r="F85" s="17">
        <f t="shared" si="2"/>
        <v>-50</v>
      </c>
      <c r="G85" s="8" t="s">
        <v>14</v>
      </c>
      <c r="H85" s="17"/>
    </row>
    <row r="86" ht="22.5" customHeight="1">
      <c r="A86" s="4">
        <v>45900.0</v>
      </c>
      <c r="B86" s="5" t="s">
        <v>22</v>
      </c>
      <c r="C86" s="1" t="s">
        <v>211</v>
      </c>
      <c r="D86" s="7">
        <v>-13.0</v>
      </c>
      <c r="E86" s="5" t="s">
        <v>13</v>
      </c>
      <c r="F86" s="17">
        <f t="shared" si="2"/>
        <v>-13</v>
      </c>
      <c r="G86" s="8" t="s">
        <v>14</v>
      </c>
      <c r="H86" s="17"/>
    </row>
    <row r="87" ht="22.5" customHeight="1">
      <c r="A87" s="4">
        <v>45900.0</v>
      </c>
      <c r="B87" s="5" t="s">
        <v>17</v>
      </c>
      <c r="C87" s="1" t="s">
        <v>221</v>
      </c>
      <c r="D87" s="7">
        <v>-479.0</v>
      </c>
      <c r="E87" s="5" t="s">
        <v>13</v>
      </c>
      <c r="F87" s="17">
        <f t="shared" si="2"/>
        <v>-479</v>
      </c>
      <c r="G87" s="8" t="s">
        <v>14</v>
      </c>
      <c r="H87" s="17"/>
    </row>
    <row r="88" ht="22.5" customHeight="1">
      <c r="A88" s="4">
        <v>45900.0</v>
      </c>
      <c r="B88" s="5" t="s">
        <v>17</v>
      </c>
      <c r="C88" s="1" t="s">
        <v>148</v>
      </c>
      <c r="D88" s="7">
        <v>-4290.0</v>
      </c>
      <c r="E88" s="5" t="s">
        <v>13</v>
      </c>
      <c r="F88" s="17">
        <f t="shared" si="2"/>
        <v>-4290</v>
      </c>
      <c r="G88" s="8" t="s">
        <v>14</v>
      </c>
      <c r="H88" s="17"/>
    </row>
    <row r="89" ht="22.5" customHeight="1">
      <c r="A89" s="4">
        <v>45900.0</v>
      </c>
      <c r="B89" s="5" t="s">
        <v>22</v>
      </c>
      <c r="C89" s="1" t="s">
        <v>148</v>
      </c>
      <c r="D89" s="7">
        <v>-204.0</v>
      </c>
      <c r="E89" s="5" t="s">
        <v>13</v>
      </c>
      <c r="F89" s="17">
        <f t="shared" si="2"/>
        <v>-204</v>
      </c>
      <c r="G89" s="8" t="s">
        <v>14</v>
      </c>
      <c r="H89" s="17"/>
    </row>
    <row r="90" ht="22.5" customHeight="1">
      <c r="A90" s="4">
        <v>45900.0</v>
      </c>
      <c r="B90" s="5" t="s">
        <v>22</v>
      </c>
      <c r="C90" s="1" t="s">
        <v>211</v>
      </c>
      <c r="D90" s="7">
        <v>-151.0</v>
      </c>
      <c r="E90" s="5" t="s">
        <v>13</v>
      </c>
      <c r="F90" s="17">
        <f t="shared" si="2"/>
        <v>-151</v>
      </c>
      <c r="G90" s="8" t="s">
        <v>14</v>
      </c>
      <c r="H90" s="17"/>
    </row>
    <row r="91" ht="22.5" customHeight="1">
      <c r="A91" s="4">
        <v>45900.0</v>
      </c>
      <c r="B91" s="5" t="s">
        <v>30</v>
      </c>
      <c r="C91" s="1" t="s">
        <v>31</v>
      </c>
      <c r="D91" s="7">
        <v>-50.0</v>
      </c>
      <c r="E91" s="5" t="s">
        <v>13</v>
      </c>
      <c r="F91" s="17">
        <f t="shared" si="2"/>
        <v>-50</v>
      </c>
      <c r="G91" s="8" t="s">
        <v>14</v>
      </c>
      <c r="H91" s="17"/>
    </row>
    <row r="92" ht="22.5" customHeight="1">
      <c r="A92" s="10"/>
      <c r="B92" s="31"/>
      <c r="C92" s="15"/>
      <c r="D92" s="32"/>
      <c r="E92" s="31"/>
      <c r="F92" s="26">
        <f>SUM(July_2[TWD])</f>
        <v>-58396</v>
      </c>
      <c r="G92" s="26"/>
      <c r="H92" s="26"/>
    </row>
    <row r="93">
      <c r="A93" s="37"/>
      <c r="B93" s="38"/>
      <c r="C93" s="39"/>
      <c r="D93" s="40"/>
      <c r="E93" s="38"/>
      <c r="F93" s="39"/>
      <c r="G93" s="41"/>
      <c r="H93" s="41"/>
    </row>
    <row r="94">
      <c r="A94" s="37"/>
      <c r="B94" s="38"/>
      <c r="C94" s="39"/>
      <c r="D94" s="40"/>
      <c r="E94" s="38"/>
      <c r="F94" s="39"/>
      <c r="G94" s="41"/>
      <c r="H94" s="41"/>
    </row>
    <row r="95">
      <c r="A95" s="37"/>
      <c r="B95" s="38"/>
      <c r="C95" s="39"/>
      <c r="D95" s="40"/>
      <c r="E95" s="38"/>
      <c r="F95" s="39"/>
      <c r="G95" s="41"/>
      <c r="H95" s="41"/>
    </row>
    <row r="96">
      <c r="A96" s="37"/>
      <c r="B96" s="38"/>
      <c r="C96" s="39"/>
      <c r="D96" s="40"/>
      <c r="E96" s="38"/>
      <c r="F96" s="39"/>
      <c r="G96" s="41"/>
      <c r="H96" s="41"/>
    </row>
    <row r="97">
      <c r="A97" s="37"/>
      <c r="B97" s="38"/>
      <c r="C97" s="39"/>
      <c r="D97" s="40"/>
      <c r="E97" s="38"/>
      <c r="F97" s="39"/>
      <c r="G97" s="41"/>
      <c r="H97" s="41"/>
    </row>
    <row r="98">
      <c r="A98" s="37"/>
      <c r="B98" s="38"/>
      <c r="C98" s="39"/>
      <c r="D98" s="40"/>
      <c r="E98" s="38"/>
      <c r="F98" s="39"/>
      <c r="G98" s="41"/>
      <c r="H98" s="41"/>
    </row>
    <row r="99">
      <c r="A99" s="37"/>
      <c r="B99" s="38"/>
      <c r="C99" s="39"/>
      <c r="D99" s="40"/>
      <c r="E99" s="38"/>
      <c r="F99" s="39"/>
      <c r="G99" s="41"/>
      <c r="H99" s="41"/>
    </row>
  </sheetData>
  <dataValidations>
    <dataValidation type="list" allowBlank="1" sqref="B2:B91">
      <formula1>"Income,Trasportation,Accommdation,Others,Food,Entertainment "</formula1>
    </dataValidation>
    <dataValidation type="list" allowBlank="1" sqref="E2:E91">
      <formula1>"AUD,TWD,Yen"</formula1>
    </dataValidation>
    <dataValidation type="custom" allowBlank="1" showDropDown="1" sqref="A2:A91">
      <formula1>OR(NOT(ISERROR(DATEVALUE(A2))), AND(ISNUMBER(A2), LEFT(CELL("format", A2))="D"))</formula1>
    </dataValidation>
    <dataValidation type="custom" allowBlank="1" showDropDown="1" sqref="D2:D91">
      <formula1>AND(ISNUMBER(D2),(NOT(OR(NOT(ISERROR(DATEVALUE(D2))), AND(ISNUMBER(D2), LEFT(CELL("format", D2))="D")))))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8"/>
    <hyperlink r:id="rId63" ref="G69"/>
    <hyperlink r:id="rId64" ref="G70"/>
    <hyperlink r:id="rId65" ref="G71"/>
    <hyperlink r:id="rId66" ref="G72"/>
    <hyperlink r:id="rId67" ref="G73"/>
    <hyperlink r:id="rId68" ref="G74"/>
    <hyperlink r:id="rId69" ref="G75"/>
    <hyperlink r:id="rId70" ref="G76"/>
    <hyperlink r:id="rId71" ref="G77"/>
    <hyperlink r:id="rId72" ref="G78"/>
    <hyperlink r:id="rId73" ref="G79"/>
    <hyperlink r:id="rId74" ref="G80"/>
    <hyperlink r:id="rId75" ref="G81"/>
    <hyperlink r:id="rId76" ref="G82"/>
    <hyperlink r:id="rId77" ref="G83"/>
    <hyperlink r:id="rId78" ref="G84"/>
    <hyperlink r:id="rId79" ref="G85"/>
    <hyperlink r:id="rId80" ref="G86"/>
    <hyperlink r:id="rId81" ref="G87"/>
    <hyperlink r:id="rId82" ref="G88"/>
    <hyperlink r:id="rId83" ref="G89"/>
    <hyperlink r:id="rId84" ref="G90"/>
    <hyperlink r:id="rId85" ref="G91"/>
  </hyperlinks>
  <drawing r:id="rId86"/>
  <tableParts count="1">
    <tablePart r:id="rId8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13</v>
      </c>
      <c r="G1" s="2" t="s">
        <v>5</v>
      </c>
      <c r="H1" s="2" t="s">
        <v>118</v>
      </c>
    </row>
    <row r="2" ht="22.5" customHeight="1">
      <c r="A2" s="4">
        <v>45901.0</v>
      </c>
      <c r="B2" s="5" t="s">
        <v>11</v>
      </c>
      <c r="C2" s="6" t="s">
        <v>12</v>
      </c>
      <c r="D2" s="7">
        <v>28000.0</v>
      </c>
      <c r="E2" s="5" t="s">
        <v>13</v>
      </c>
      <c r="F2" s="17">
        <f t="shared" ref="F2:F63" si="1">D2*1</f>
        <v>28000</v>
      </c>
      <c r="G2" s="8" t="s">
        <v>14</v>
      </c>
      <c r="H2" s="17"/>
    </row>
    <row r="3" ht="22.5" customHeight="1">
      <c r="A3" s="4">
        <v>45901.0</v>
      </c>
      <c r="B3" s="5" t="s">
        <v>11</v>
      </c>
      <c r="C3" s="6" t="s">
        <v>15</v>
      </c>
      <c r="D3" s="7">
        <v>22000.0</v>
      </c>
      <c r="E3" s="5" t="s">
        <v>13</v>
      </c>
      <c r="F3" s="17">
        <f t="shared" si="1"/>
        <v>22000</v>
      </c>
      <c r="G3" s="8" t="s">
        <v>16</v>
      </c>
      <c r="H3" s="17"/>
    </row>
    <row r="4" ht="22.5" customHeight="1">
      <c r="A4" s="4">
        <v>45901.0</v>
      </c>
      <c r="B4" s="5" t="s">
        <v>58</v>
      </c>
      <c r="C4" s="6" t="s">
        <v>159</v>
      </c>
      <c r="D4" s="7">
        <v>-12000.0</v>
      </c>
      <c r="E4" s="5" t="s">
        <v>13</v>
      </c>
      <c r="F4" s="17">
        <f t="shared" si="1"/>
        <v>-12000</v>
      </c>
      <c r="G4" s="8" t="s">
        <v>14</v>
      </c>
      <c r="H4" s="17"/>
    </row>
    <row r="5" ht="22.5" customHeight="1">
      <c r="A5" s="4">
        <v>45901.0</v>
      </c>
      <c r="B5" s="5" t="s">
        <v>58</v>
      </c>
      <c r="C5" s="6" t="s">
        <v>159</v>
      </c>
      <c r="D5" s="7">
        <v>-29305.0</v>
      </c>
      <c r="E5" s="5" t="s">
        <v>13</v>
      </c>
      <c r="F5" s="17">
        <f t="shared" si="1"/>
        <v>-29305</v>
      </c>
      <c r="G5" s="8" t="s">
        <v>14</v>
      </c>
      <c r="H5" s="17"/>
    </row>
    <row r="6" ht="22.5" customHeight="1">
      <c r="A6" s="4">
        <v>45901.0</v>
      </c>
      <c r="B6" s="5" t="s">
        <v>17</v>
      </c>
      <c r="C6" s="6" t="s">
        <v>20</v>
      </c>
      <c r="D6" s="7">
        <v>-660.0</v>
      </c>
      <c r="E6" s="5" t="s">
        <v>13</v>
      </c>
      <c r="F6" s="17">
        <f t="shared" si="1"/>
        <v>-660</v>
      </c>
      <c r="G6" s="8" t="s">
        <v>14</v>
      </c>
      <c r="H6" s="17"/>
    </row>
    <row r="7" ht="22.5" customHeight="1">
      <c r="A7" s="4">
        <v>45901.0</v>
      </c>
      <c r="B7" s="5" t="s">
        <v>17</v>
      </c>
      <c r="C7" s="6" t="s">
        <v>21</v>
      </c>
      <c r="D7" s="7">
        <v>-479.0</v>
      </c>
      <c r="E7" s="5" t="s">
        <v>13</v>
      </c>
      <c r="F7" s="17">
        <f t="shared" si="1"/>
        <v>-479</v>
      </c>
      <c r="G7" s="8" t="s">
        <v>14</v>
      </c>
      <c r="H7" s="17"/>
    </row>
    <row r="8" ht="22.5" customHeight="1">
      <c r="A8" s="4">
        <v>45903.0</v>
      </c>
      <c r="B8" s="5" t="s">
        <v>22</v>
      </c>
      <c r="C8" s="6" t="s">
        <v>155</v>
      </c>
      <c r="D8" s="7">
        <v>-18.0</v>
      </c>
      <c r="E8" s="5" t="s">
        <v>13</v>
      </c>
      <c r="F8" s="17">
        <f t="shared" si="1"/>
        <v>-18</v>
      </c>
      <c r="G8" s="8" t="s">
        <v>14</v>
      </c>
      <c r="H8" s="17"/>
    </row>
    <row r="9" ht="22.5" customHeight="1">
      <c r="A9" s="4">
        <v>45903.0</v>
      </c>
      <c r="B9" s="5" t="s">
        <v>50</v>
      </c>
      <c r="C9" s="6" t="s">
        <v>244</v>
      </c>
      <c r="D9" s="7">
        <v>-6166.0</v>
      </c>
      <c r="E9" s="5" t="s">
        <v>13</v>
      </c>
      <c r="F9" s="17">
        <f t="shared" si="1"/>
        <v>-6166</v>
      </c>
      <c r="G9" s="8" t="s">
        <v>14</v>
      </c>
      <c r="H9" s="17"/>
    </row>
    <row r="10" ht="22.5" customHeight="1">
      <c r="A10" s="4">
        <v>45903.0</v>
      </c>
      <c r="B10" s="5" t="s">
        <v>22</v>
      </c>
      <c r="C10" s="6" t="s">
        <v>245</v>
      </c>
      <c r="D10" s="7">
        <v>-95.0</v>
      </c>
      <c r="E10" s="5" t="s">
        <v>13</v>
      </c>
      <c r="F10" s="17">
        <f t="shared" si="1"/>
        <v>-95</v>
      </c>
      <c r="G10" s="8" t="s">
        <v>14</v>
      </c>
      <c r="H10" s="17"/>
    </row>
    <row r="11" ht="22.5" customHeight="1">
      <c r="A11" s="4">
        <v>45903.0</v>
      </c>
      <c r="B11" s="5" t="s">
        <v>22</v>
      </c>
      <c r="C11" s="6" t="s">
        <v>245</v>
      </c>
      <c r="D11" s="7">
        <v>-97.0</v>
      </c>
      <c r="E11" s="5" t="s">
        <v>13</v>
      </c>
      <c r="F11" s="17">
        <f t="shared" si="1"/>
        <v>-97</v>
      </c>
      <c r="G11" s="8" t="s">
        <v>14</v>
      </c>
      <c r="H11" s="17"/>
    </row>
    <row r="12" ht="22.5" customHeight="1">
      <c r="A12" s="4">
        <v>45903.0</v>
      </c>
      <c r="B12" s="5" t="s">
        <v>22</v>
      </c>
      <c r="C12" s="6" t="s">
        <v>245</v>
      </c>
      <c r="D12" s="7">
        <v>-43.0</v>
      </c>
      <c r="E12" s="5" t="s">
        <v>13</v>
      </c>
      <c r="F12" s="17">
        <f t="shared" si="1"/>
        <v>-43</v>
      </c>
      <c r="G12" s="8" t="s">
        <v>14</v>
      </c>
      <c r="H12" s="17"/>
    </row>
    <row r="13" ht="22.5" customHeight="1">
      <c r="A13" s="4">
        <v>45905.0</v>
      </c>
      <c r="B13" s="5" t="s">
        <v>22</v>
      </c>
      <c r="C13" s="6" t="s">
        <v>155</v>
      </c>
      <c r="D13" s="7">
        <v>-60.0</v>
      </c>
      <c r="E13" s="5" t="s">
        <v>13</v>
      </c>
      <c r="F13" s="17">
        <f t="shared" si="1"/>
        <v>-60</v>
      </c>
      <c r="G13" s="8" t="s">
        <v>14</v>
      </c>
      <c r="H13" s="17"/>
    </row>
    <row r="14" ht="22.5" customHeight="1">
      <c r="A14" s="4">
        <v>45905.0</v>
      </c>
      <c r="B14" s="5" t="s">
        <v>22</v>
      </c>
      <c r="C14" s="6" t="s">
        <v>245</v>
      </c>
      <c r="D14" s="7">
        <v>-13.0</v>
      </c>
      <c r="E14" s="5" t="s">
        <v>13</v>
      </c>
      <c r="F14" s="17">
        <f t="shared" si="1"/>
        <v>-13</v>
      </c>
      <c r="G14" s="8" t="s">
        <v>14</v>
      </c>
      <c r="H14" s="17"/>
    </row>
    <row r="15" ht="22.5" customHeight="1">
      <c r="A15" s="4">
        <v>45905.0</v>
      </c>
      <c r="B15" s="5" t="s">
        <v>22</v>
      </c>
      <c r="C15" s="1" t="s">
        <v>246</v>
      </c>
      <c r="D15" s="7">
        <v>-4200.0</v>
      </c>
      <c r="E15" s="5" t="s">
        <v>13</v>
      </c>
      <c r="F15" s="17">
        <f t="shared" si="1"/>
        <v>-4200</v>
      </c>
      <c r="G15" s="8" t="s">
        <v>14</v>
      </c>
      <c r="H15" s="17"/>
    </row>
    <row r="16" ht="22.5" customHeight="1">
      <c r="A16" s="4">
        <v>45905.0</v>
      </c>
      <c r="B16" s="5" t="s">
        <v>22</v>
      </c>
      <c r="C16" s="1" t="s">
        <v>247</v>
      </c>
      <c r="D16" s="7">
        <v>-265.0</v>
      </c>
      <c r="E16" s="5" t="s">
        <v>13</v>
      </c>
      <c r="F16" s="17">
        <f t="shared" si="1"/>
        <v>-265</v>
      </c>
      <c r="G16" s="8" t="s">
        <v>14</v>
      </c>
      <c r="H16" s="17"/>
    </row>
    <row r="17" ht="22.5" customHeight="1">
      <c r="A17" s="4">
        <v>45905.0</v>
      </c>
      <c r="B17" s="5" t="s">
        <v>22</v>
      </c>
      <c r="C17" s="1" t="s">
        <v>166</v>
      </c>
      <c r="D17" s="7">
        <v>-83.0</v>
      </c>
      <c r="E17" s="5" t="s">
        <v>13</v>
      </c>
      <c r="F17" s="17">
        <f t="shared" si="1"/>
        <v>-83</v>
      </c>
      <c r="G17" s="8" t="s">
        <v>14</v>
      </c>
      <c r="H17" s="17"/>
    </row>
    <row r="18" ht="22.5" customHeight="1">
      <c r="A18" s="4">
        <v>45906.0</v>
      </c>
      <c r="B18" s="5" t="s">
        <v>22</v>
      </c>
      <c r="C18" s="6" t="s">
        <v>245</v>
      </c>
      <c r="D18" s="7">
        <v>-41.0</v>
      </c>
      <c r="E18" s="5" t="s">
        <v>13</v>
      </c>
      <c r="F18" s="17">
        <f t="shared" si="1"/>
        <v>-41</v>
      </c>
      <c r="G18" s="8" t="s">
        <v>14</v>
      </c>
      <c r="H18" s="17"/>
    </row>
    <row r="19" ht="22.5" customHeight="1">
      <c r="A19" s="4">
        <v>45906.0</v>
      </c>
      <c r="B19" s="5" t="s">
        <v>22</v>
      </c>
      <c r="C19" s="1" t="s">
        <v>248</v>
      </c>
      <c r="D19" s="7">
        <v>-210.0</v>
      </c>
      <c r="E19" s="5" t="s">
        <v>13</v>
      </c>
      <c r="F19" s="17">
        <f t="shared" si="1"/>
        <v>-210</v>
      </c>
      <c r="G19" s="8" t="s">
        <v>14</v>
      </c>
      <c r="H19" s="17"/>
    </row>
    <row r="20" ht="22.5" customHeight="1">
      <c r="A20" s="4">
        <v>45906.0</v>
      </c>
      <c r="B20" s="5" t="s">
        <v>17</v>
      </c>
      <c r="C20" s="1" t="s">
        <v>249</v>
      </c>
      <c r="D20" s="7">
        <v>-2461.0</v>
      </c>
      <c r="E20" s="5" t="s">
        <v>13</v>
      </c>
      <c r="F20" s="17">
        <f t="shared" si="1"/>
        <v>-2461</v>
      </c>
      <c r="G20" s="8" t="s">
        <v>14</v>
      </c>
      <c r="H20" s="17"/>
    </row>
    <row r="21" ht="22.5" customHeight="1">
      <c r="A21" s="4">
        <v>45906.0</v>
      </c>
      <c r="B21" s="5" t="s">
        <v>22</v>
      </c>
      <c r="C21" s="6" t="s">
        <v>155</v>
      </c>
      <c r="D21" s="7">
        <v>-211.0</v>
      </c>
      <c r="E21" s="5" t="s">
        <v>13</v>
      </c>
      <c r="F21" s="17">
        <f t="shared" si="1"/>
        <v>-211</v>
      </c>
      <c r="G21" s="8" t="s">
        <v>14</v>
      </c>
      <c r="H21" s="17"/>
    </row>
    <row r="22" ht="22.5" customHeight="1">
      <c r="A22" s="4">
        <v>45906.0</v>
      </c>
      <c r="B22" s="5" t="s">
        <v>22</v>
      </c>
      <c r="C22" s="6" t="s">
        <v>29</v>
      </c>
      <c r="D22" s="7">
        <v>-2049.0</v>
      </c>
      <c r="E22" s="5" t="s">
        <v>13</v>
      </c>
      <c r="F22" s="17">
        <f t="shared" si="1"/>
        <v>-2049</v>
      </c>
      <c r="G22" s="8" t="s">
        <v>16</v>
      </c>
      <c r="H22" s="17"/>
    </row>
    <row r="23" ht="22.5" customHeight="1">
      <c r="A23" s="4">
        <v>45906.0</v>
      </c>
      <c r="B23" s="5" t="s">
        <v>17</v>
      </c>
      <c r="C23" s="6" t="s">
        <v>29</v>
      </c>
      <c r="D23" s="7">
        <v>-6299.0</v>
      </c>
      <c r="E23" s="5" t="s">
        <v>13</v>
      </c>
      <c r="F23" s="17">
        <f t="shared" si="1"/>
        <v>-6299</v>
      </c>
      <c r="G23" s="8" t="s">
        <v>16</v>
      </c>
      <c r="H23" s="17"/>
    </row>
    <row r="24" ht="22.5" customHeight="1">
      <c r="A24" s="4">
        <v>45906.0</v>
      </c>
      <c r="B24" s="5" t="s">
        <v>17</v>
      </c>
      <c r="C24" s="6" t="s">
        <v>250</v>
      </c>
      <c r="D24" s="7">
        <v>-1100.0</v>
      </c>
      <c r="E24" s="5" t="s">
        <v>13</v>
      </c>
      <c r="F24" s="17">
        <f t="shared" si="1"/>
        <v>-1100</v>
      </c>
      <c r="G24" s="8" t="s">
        <v>14</v>
      </c>
      <c r="H24" s="17"/>
    </row>
    <row r="25" ht="22.5" customHeight="1">
      <c r="A25" s="4">
        <v>45907.0</v>
      </c>
      <c r="B25" s="5" t="s">
        <v>22</v>
      </c>
      <c r="C25" s="6" t="s">
        <v>245</v>
      </c>
      <c r="D25" s="7">
        <v>-134.0</v>
      </c>
      <c r="E25" s="5" t="s">
        <v>13</v>
      </c>
      <c r="F25" s="17">
        <f t="shared" si="1"/>
        <v>-134</v>
      </c>
      <c r="G25" s="8" t="s">
        <v>14</v>
      </c>
      <c r="H25" s="17"/>
    </row>
    <row r="26" ht="22.5" customHeight="1">
      <c r="A26" s="4">
        <v>45907.0</v>
      </c>
      <c r="B26" s="5" t="s">
        <v>22</v>
      </c>
      <c r="C26" s="1" t="s">
        <v>140</v>
      </c>
      <c r="D26" s="7">
        <v>-465.0</v>
      </c>
      <c r="E26" s="5" t="s">
        <v>13</v>
      </c>
      <c r="F26" s="17">
        <f t="shared" si="1"/>
        <v>-465</v>
      </c>
      <c r="G26" s="8" t="s">
        <v>14</v>
      </c>
      <c r="H26" s="17"/>
    </row>
    <row r="27" ht="22.5" customHeight="1">
      <c r="A27" s="4">
        <v>45910.0</v>
      </c>
      <c r="B27" s="5" t="s">
        <v>17</v>
      </c>
      <c r="C27" s="1" t="s">
        <v>251</v>
      </c>
      <c r="D27" s="7">
        <v>2439.0</v>
      </c>
      <c r="E27" s="5" t="s">
        <v>13</v>
      </c>
      <c r="F27" s="17">
        <f t="shared" si="1"/>
        <v>2439</v>
      </c>
      <c r="G27" s="8" t="s">
        <v>14</v>
      </c>
      <c r="H27" s="17"/>
    </row>
    <row r="28" ht="22.5" customHeight="1">
      <c r="A28" s="4">
        <v>45910.0</v>
      </c>
      <c r="B28" s="5" t="s">
        <v>30</v>
      </c>
      <c r="C28" s="1" t="s">
        <v>31</v>
      </c>
      <c r="D28" s="7">
        <v>-60.0</v>
      </c>
      <c r="E28" s="5" t="s">
        <v>13</v>
      </c>
      <c r="F28" s="17">
        <f t="shared" si="1"/>
        <v>-60</v>
      </c>
      <c r="G28" s="8" t="s">
        <v>14</v>
      </c>
      <c r="H28" s="17"/>
    </row>
    <row r="29" ht="22.5" customHeight="1">
      <c r="A29" s="4">
        <v>45910.0</v>
      </c>
      <c r="B29" s="5" t="s">
        <v>22</v>
      </c>
      <c r="C29" s="6" t="s">
        <v>245</v>
      </c>
      <c r="D29" s="7">
        <v>-149.0</v>
      </c>
      <c r="E29" s="5" t="s">
        <v>13</v>
      </c>
      <c r="F29" s="17">
        <f t="shared" si="1"/>
        <v>-149</v>
      </c>
      <c r="G29" s="8" t="s">
        <v>14</v>
      </c>
      <c r="H29" s="17"/>
    </row>
    <row r="30" ht="22.5" customHeight="1">
      <c r="A30" s="4">
        <v>45910.0</v>
      </c>
      <c r="B30" s="5" t="s">
        <v>22</v>
      </c>
      <c r="C30" s="6" t="s">
        <v>245</v>
      </c>
      <c r="D30" s="7">
        <v>-144.0</v>
      </c>
      <c r="E30" s="5" t="s">
        <v>13</v>
      </c>
      <c r="F30" s="17">
        <f t="shared" si="1"/>
        <v>-144</v>
      </c>
      <c r="G30" s="8" t="s">
        <v>14</v>
      </c>
      <c r="H30" s="17"/>
    </row>
    <row r="31" ht="22.5" customHeight="1">
      <c r="A31" s="4">
        <v>45910.0</v>
      </c>
      <c r="B31" s="5" t="s">
        <v>22</v>
      </c>
      <c r="C31" s="6" t="s">
        <v>252</v>
      </c>
      <c r="D31" s="7">
        <v>-1845.0</v>
      </c>
      <c r="E31" s="5" t="s">
        <v>13</v>
      </c>
      <c r="F31" s="17">
        <f t="shared" si="1"/>
        <v>-1845</v>
      </c>
      <c r="G31" s="8" t="s">
        <v>14</v>
      </c>
      <c r="H31" s="17"/>
    </row>
    <row r="32" ht="22.5" customHeight="1">
      <c r="A32" s="4">
        <v>45912.0</v>
      </c>
      <c r="B32" s="5" t="s">
        <v>17</v>
      </c>
      <c r="C32" s="6" t="s">
        <v>20</v>
      </c>
      <c r="D32" s="7">
        <v>-660.0</v>
      </c>
      <c r="E32" s="5" t="s">
        <v>13</v>
      </c>
      <c r="F32" s="17">
        <f t="shared" si="1"/>
        <v>-660</v>
      </c>
      <c r="G32" s="8" t="s">
        <v>14</v>
      </c>
      <c r="H32" s="17"/>
    </row>
    <row r="33" ht="22.5" customHeight="1">
      <c r="A33" s="4">
        <v>45912.0</v>
      </c>
      <c r="B33" s="5" t="s">
        <v>22</v>
      </c>
      <c r="C33" s="6" t="s">
        <v>245</v>
      </c>
      <c r="D33" s="7">
        <v>-138.0</v>
      </c>
      <c r="E33" s="5" t="s">
        <v>13</v>
      </c>
      <c r="F33" s="17">
        <f t="shared" si="1"/>
        <v>-138</v>
      </c>
      <c r="G33" s="8" t="s">
        <v>14</v>
      </c>
      <c r="H33" s="17"/>
    </row>
    <row r="34" ht="22.5" customHeight="1">
      <c r="A34" s="4">
        <v>45913.0</v>
      </c>
      <c r="B34" s="5" t="s">
        <v>22</v>
      </c>
      <c r="C34" s="1" t="s">
        <v>253</v>
      </c>
      <c r="D34" s="7">
        <v>-175.0</v>
      </c>
      <c r="E34" s="5" t="s">
        <v>13</v>
      </c>
      <c r="F34" s="17">
        <f t="shared" si="1"/>
        <v>-175</v>
      </c>
      <c r="G34" s="8" t="s">
        <v>14</v>
      </c>
      <c r="H34" s="17"/>
    </row>
    <row r="35" ht="22.5" customHeight="1">
      <c r="A35" s="4">
        <v>45913.0</v>
      </c>
      <c r="B35" s="5" t="s">
        <v>22</v>
      </c>
      <c r="C35" s="1" t="s">
        <v>29</v>
      </c>
      <c r="D35" s="7">
        <v>-3694.0</v>
      </c>
      <c r="E35" s="5" t="s">
        <v>13</v>
      </c>
      <c r="F35" s="17">
        <f t="shared" si="1"/>
        <v>-3694</v>
      </c>
      <c r="G35" s="8" t="s">
        <v>16</v>
      </c>
      <c r="H35" s="17"/>
    </row>
    <row r="36" ht="22.5" customHeight="1">
      <c r="A36" s="4">
        <v>45914.0</v>
      </c>
      <c r="B36" s="5" t="s">
        <v>22</v>
      </c>
      <c r="C36" s="6" t="s">
        <v>245</v>
      </c>
      <c r="D36" s="7">
        <v>-25.0</v>
      </c>
      <c r="E36" s="5" t="s">
        <v>13</v>
      </c>
      <c r="F36" s="17">
        <f t="shared" si="1"/>
        <v>-25</v>
      </c>
      <c r="G36" s="8" t="s">
        <v>14</v>
      </c>
      <c r="H36" s="17"/>
    </row>
    <row r="37" ht="22.5" customHeight="1">
      <c r="A37" s="4">
        <v>45914.0</v>
      </c>
      <c r="B37" s="5" t="s">
        <v>22</v>
      </c>
      <c r="C37" s="6" t="s">
        <v>245</v>
      </c>
      <c r="D37" s="7">
        <v>-176.0</v>
      </c>
      <c r="E37" s="5" t="s">
        <v>13</v>
      </c>
      <c r="F37" s="17">
        <f t="shared" si="1"/>
        <v>-176</v>
      </c>
      <c r="G37" s="8" t="s">
        <v>14</v>
      </c>
      <c r="H37" s="17"/>
    </row>
    <row r="38" ht="22.5" customHeight="1">
      <c r="A38" s="4">
        <v>45914.0</v>
      </c>
      <c r="B38" s="5" t="s">
        <v>22</v>
      </c>
      <c r="C38" s="1" t="s">
        <v>254</v>
      </c>
      <c r="D38" s="7">
        <v>-256.0</v>
      </c>
      <c r="E38" s="5" t="s">
        <v>13</v>
      </c>
      <c r="F38" s="17">
        <f t="shared" si="1"/>
        <v>-256</v>
      </c>
      <c r="G38" s="8" t="s">
        <v>14</v>
      </c>
      <c r="H38" s="17"/>
    </row>
    <row r="39" ht="22.5" customHeight="1">
      <c r="A39" s="4">
        <v>45914.0</v>
      </c>
      <c r="B39" s="5" t="s">
        <v>17</v>
      </c>
      <c r="C39" s="1" t="s">
        <v>255</v>
      </c>
      <c r="D39" s="7">
        <v>-3600.0</v>
      </c>
      <c r="E39" s="5" t="s">
        <v>13</v>
      </c>
      <c r="F39" s="17">
        <f t="shared" si="1"/>
        <v>-3600</v>
      </c>
      <c r="G39" s="8" t="s">
        <v>14</v>
      </c>
      <c r="H39" s="17"/>
    </row>
    <row r="40" ht="22.5" customHeight="1">
      <c r="A40" s="4">
        <v>45915.0</v>
      </c>
      <c r="B40" s="5" t="s">
        <v>22</v>
      </c>
      <c r="C40" s="1" t="s">
        <v>245</v>
      </c>
      <c r="D40" s="7">
        <v>-42.0</v>
      </c>
      <c r="E40" s="5" t="s">
        <v>13</v>
      </c>
      <c r="F40" s="17">
        <f t="shared" si="1"/>
        <v>-42</v>
      </c>
      <c r="G40" s="8" t="s">
        <v>14</v>
      </c>
      <c r="H40" s="17"/>
    </row>
    <row r="41" ht="22.5" customHeight="1">
      <c r="A41" s="4">
        <v>45915.0</v>
      </c>
      <c r="B41" s="5" t="s">
        <v>22</v>
      </c>
      <c r="C41" s="1" t="s">
        <v>27</v>
      </c>
      <c r="D41" s="7">
        <v>-298.0</v>
      </c>
      <c r="E41" s="5" t="s">
        <v>13</v>
      </c>
      <c r="F41" s="17">
        <f t="shared" si="1"/>
        <v>-298</v>
      </c>
      <c r="G41" s="8" t="s">
        <v>14</v>
      </c>
      <c r="H41" s="17"/>
    </row>
    <row r="42" ht="22.5" customHeight="1">
      <c r="A42" s="4">
        <v>45916.0</v>
      </c>
      <c r="B42" s="5" t="s">
        <v>22</v>
      </c>
      <c r="C42" s="1" t="s">
        <v>256</v>
      </c>
      <c r="D42" s="7">
        <v>-36.0</v>
      </c>
      <c r="E42" s="5" t="s">
        <v>13</v>
      </c>
      <c r="F42" s="17">
        <f t="shared" si="1"/>
        <v>-36</v>
      </c>
      <c r="G42" s="8" t="s">
        <v>14</v>
      </c>
      <c r="H42" s="17"/>
    </row>
    <row r="43" ht="22.5" customHeight="1">
      <c r="A43" s="4">
        <v>45916.0</v>
      </c>
      <c r="B43" s="5" t="s">
        <v>22</v>
      </c>
      <c r="C43" s="1" t="s">
        <v>245</v>
      </c>
      <c r="D43" s="7">
        <v>-13.0</v>
      </c>
      <c r="E43" s="5" t="s">
        <v>13</v>
      </c>
      <c r="F43" s="17">
        <f t="shared" si="1"/>
        <v>-13</v>
      </c>
      <c r="G43" s="8" t="s">
        <v>14</v>
      </c>
      <c r="H43" s="17"/>
    </row>
    <row r="44" ht="22.5" customHeight="1">
      <c r="A44" s="4">
        <v>45919.0</v>
      </c>
      <c r="B44" s="5" t="s">
        <v>22</v>
      </c>
      <c r="C44" s="6" t="s">
        <v>155</v>
      </c>
      <c r="D44" s="7">
        <v>-80.0</v>
      </c>
      <c r="E44" s="5" t="s">
        <v>13</v>
      </c>
      <c r="F44" s="17">
        <f t="shared" si="1"/>
        <v>-80</v>
      </c>
      <c r="G44" s="8" t="s">
        <v>14</v>
      </c>
      <c r="H44" s="17"/>
    </row>
    <row r="45" ht="22.5" customHeight="1">
      <c r="A45" s="4">
        <v>45919.0</v>
      </c>
      <c r="B45" s="5" t="s">
        <v>17</v>
      </c>
      <c r="C45" s="6" t="s">
        <v>257</v>
      </c>
      <c r="D45" s="7">
        <v>-35.0</v>
      </c>
      <c r="E45" s="5" t="s">
        <v>13</v>
      </c>
      <c r="F45" s="17">
        <f t="shared" si="1"/>
        <v>-35</v>
      </c>
      <c r="G45" s="8" t="s">
        <v>16</v>
      </c>
      <c r="H45" s="17"/>
    </row>
    <row r="46" ht="22.5" customHeight="1">
      <c r="A46" s="4">
        <v>45920.0</v>
      </c>
      <c r="B46" s="5" t="s">
        <v>22</v>
      </c>
      <c r="C46" s="6" t="s">
        <v>156</v>
      </c>
      <c r="D46" s="7">
        <v>-1000.0</v>
      </c>
      <c r="E46" s="5" t="s">
        <v>13</v>
      </c>
      <c r="F46" s="17">
        <f t="shared" si="1"/>
        <v>-1000</v>
      </c>
      <c r="G46" s="8" t="s">
        <v>14</v>
      </c>
      <c r="H46" s="17"/>
    </row>
    <row r="47" ht="22.5" customHeight="1">
      <c r="A47" s="4">
        <v>45921.0</v>
      </c>
      <c r="B47" s="5" t="s">
        <v>22</v>
      </c>
      <c r="C47" s="1" t="s">
        <v>140</v>
      </c>
      <c r="D47" s="7">
        <v>-431.0</v>
      </c>
      <c r="E47" s="5" t="s">
        <v>13</v>
      </c>
      <c r="F47" s="17">
        <f t="shared" si="1"/>
        <v>-431</v>
      </c>
      <c r="G47" s="8" t="s">
        <v>14</v>
      </c>
      <c r="H47" s="17"/>
    </row>
    <row r="48" ht="22.5" customHeight="1">
      <c r="A48" s="4">
        <v>45921.0</v>
      </c>
      <c r="B48" s="5" t="s">
        <v>22</v>
      </c>
      <c r="C48" s="1" t="s">
        <v>245</v>
      </c>
      <c r="D48" s="7">
        <v>-124.0</v>
      </c>
      <c r="E48" s="5" t="s">
        <v>13</v>
      </c>
      <c r="F48" s="17">
        <f t="shared" si="1"/>
        <v>-124</v>
      </c>
      <c r="G48" s="8" t="s">
        <v>14</v>
      </c>
      <c r="H48" s="17"/>
    </row>
    <row r="49" ht="22.5" customHeight="1">
      <c r="A49" s="4">
        <v>45922.0</v>
      </c>
      <c r="B49" s="5" t="s">
        <v>22</v>
      </c>
      <c r="C49" s="1" t="s">
        <v>245</v>
      </c>
      <c r="D49" s="7">
        <v>-28.0</v>
      </c>
      <c r="E49" s="5" t="s">
        <v>13</v>
      </c>
      <c r="F49" s="17">
        <f t="shared" si="1"/>
        <v>-28</v>
      </c>
      <c r="G49" s="8" t="s">
        <v>14</v>
      </c>
      <c r="H49" s="17"/>
    </row>
    <row r="50" ht="22.5" customHeight="1">
      <c r="A50" s="4">
        <v>45923.0</v>
      </c>
      <c r="B50" s="5" t="s">
        <v>22</v>
      </c>
      <c r="C50" s="1" t="s">
        <v>42</v>
      </c>
      <c r="D50" s="7">
        <v>-132.0</v>
      </c>
      <c r="E50" s="5" t="s">
        <v>13</v>
      </c>
      <c r="F50" s="17">
        <f t="shared" si="1"/>
        <v>-132</v>
      </c>
      <c r="G50" s="8" t="s">
        <v>14</v>
      </c>
      <c r="H50" s="17"/>
    </row>
    <row r="51" ht="22.5" customHeight="1">
      <c r="A51" s="4">
        <v>45923.0</v>
      </c>
      <c r="B51" s="5" t="s">
        <v>22</v>
      </c>
      <c r="C51" s="1" t="s">
        <v>27</v>
      </c>
      <c r="D51" s="7">
        <v>-319.0</v>
      </c>
      <c r="E51" s="5" t="s">
        <v>13</v>
      </c>
      <c r="F51" s="17">
        <f t="shared" si="1"/>
        <v>-319</v>
      </c>
      <c r="G51" s="8" t="s">
        <v>14</v>
      </c>
      <c r="H51" s="17"/>
    </row>
    <row r="52" ht="22.5" customHeight="1">
      <c r="A52" s="4">
        <v>45926.0</v>
      </c>
      <c r="B52" s="5" t="s">
        <v>22</v>
      </c>
      <c r="C52" s="1" t="s">
        <v>245</v>
      </c>
      <c r="D52" s="7">
        <v>-79.0</v>
      </c>
      <c r="E52" s="5" t="s">
        <v>13</v>
      </c>
      <c r="F52" s="17">
        <f t="shared" si="1"/>
        <v>-79</v>
      </c>
      <c r="G52" s="8" t="s">
        <v>14</v>
      </c>
      <c r="H52" s="17"/>
    </row>
    <row r="53" ht="22.5" customHeight="1">
      <c r="A53" s="4">
        <v>45926.0</v>
      </c>
      <c r="B53" s="5" t="s">
        <v>22</v>
      </c>
      <c r="C53" s="1" t="s">
        <v>245</v>
      </c>
      <c r="D53" s="7">
        <v>-113.0</v>
      </c>
      <c r="E53" s="5" t="s">
        <v>13</v>
      </c>
      <c r="F53" s="17">
        <f t="shared" si="1"/>
        <v>-113</v>
      </c>
      <c r="G53" s="8" t="s">
        <v>14</v>
      </c>
      <c r="H53" s="17"/>
    </row>
    <row r="54" ht="22.5" customHeight="1">
      <c r="A54" s="4">
        <v>45926.0</v>
      </c>
      <c r="B54" s="5" t="s">
        <v>22</v>
      </c>
      <c r="C54" s="1" t="s">
        <v>27</v>
      </c>
      <c r="D54" s="7">
        <v>-233.0</v>
      </c>
      <c r="E54" s="5" t="s">
        <v>13</v>
      </c>
      <c r="F54" s="17">
        <f t="shared" si="1"/>
        <v>-233</v>
      </c>
      <c r="G54" s="8" t="s">
        <v>14</v>
      </c>
      <c r="H54" s="17"/>
    </row>
    <row r="55" ht="22.5" customHeight="1">
      <c r="A55" s="4">
        <v>45927.0</v>
      </c>
      <c r="B55" s="5" t="s">
        <v>22</v>
      </c>
      <c r="C55" s="1" t="s">
        <v>245</v>
      </c>
      <c r="D55" s="7">
        <v>-127.0</v>
      </c>
      <c r="E55" s="5" t="s">
        <v>13</v>
      </c>
      <c r="F55" s="17">
        <f t="shared" si="1"/>
        <v>-127</v>
      </c>
      <c r="G55" s="8" t="s">
        <v>14</v>
      </c>
      <c r="H55" s="17"/>
    </row>
    <row r="56" ht="22.5" customHeight="1">
      <c r="A56" s="4">
        <v>45927.0</v>
      </c>
      <c r="B56" s="5" t="s">
        <v>17</v>
      </c>
      <c r="C56" s="1" t="s">
        <v>258</v>
      </c>
      <c r="D56" s="7">
        <v>-790.0</v>
      </c>
      <c r="E56" s="5" t="s">
        <v>13</v>
      </c>
      <c r="F56" s="17">
        <f t="shared" si="1"/>
        <v>-790</v>
      </c>
      <c r="G56" s="8" t="s">
        <v>14</v>
      </c>
      <c r="H56" s="17"/>
    </row>
    <row r="57" ht="22.5" customHeight="1">
      <c r="A57" s="4">
        <v>45927.0</v>
      </c>
      <c r="B57" s="5" t="s">
        <v>22</v>
      </c>
      <c r="C57" s="1" t="s">
        <v>29</v>
      </c>
      <c r="D57" s="7">
        <v>-3724.0</v>
      </c>
      <c r="E57" s="5" t="s">
        <v>13</v>
      </c>
      <c r="F57" s="17">
        <f t="shared" si="1"/>
        <v>-3724</v>
      </c>
      <c r="G57" s="8" t="s">
        <v>16</v>
      </c>
      <c r="H57" s="17"/>
    </row>
    <row r="58" ht="22.5" customHeight="1">
      <c r="A58" s="4">
        <v>45928.0</v>
      </c>
      <c r="B58" s="5" t="s">
        <v>22</v>
      </c>
      <c r="C58" s="1" t="s">
        <v>245</v>
      </c>
      <c r="D58" s="7">
        <v>-28.0</v>
      </c>
      <c r="E58" s="5" t="s">
        <v>13</v>
      </c>
      <c r="F58" s="17">
        <f t="shared" si="1"/>
        <v>-28</v>
      </c>
      <c r="G58" s="8" t="s">
        <v>14</v>
      </c>
      <c r="H58" s="17"/>
    </row>
    <row r="59" ht="22.5" customHeight="1">
      <c r="A59" s="4">
        <v>45929.0</v>
      </c>
      <c r="B59" s="5" t="s">
        <v>22</v>
      </c>
      <c r="C59" s="1" t="s">
        <v>259</v>
      </c>
      <c r="D59" s="7">
        <v>-714.0</v>
      </c>
      <c r="E59" s="5" t="s">
        <v>13</v>
      </c>
      <c r="F59" s="17">
        <f t="shared" si="1"/>
        <v>-714</v>
      </c>
      <c r="G59" s="8" t="s">
        <v>14</v>
      </c>
      <c r="H59" s="17"/>
    </row>
    <row r="60" ht="22.5" customHeight="1">
      <c r="A60" s="4">
        <v>45929.0</v>
      </c>
      <c r="B60" s="5" t="s">
        <v>22</v>
      </c>
      <c r="C60" s="1" t="s">
        <v>42</v>
      </c>
      <c r="D60" s="7">
        <v>-181.0</v>
      </c>
      <c r="E60" s="5" t="s">
        <v>13</v>
      </c>
      <c r="F60" s="17">
        <f t="shared" si="1"/>
        <v>-181</v>
      </c>
      <c r="G60" s="8" t="s">
        <v>14</v>
      </c>
      <c r="H60" s="17"/>
    </row>
    <row r="61" ht="22.5" customHeight="1">
      <c r="A61" s="4">
        <v>45930.0</v>
      </c>
      <c r="B61" s="5" t="s">
        <v>58</v>
      </c>
      <c r="C61" s="1" t="s">
        <v>19</v>
      </c>
      <c r="D61" s="7">
        <v>-3100.0</v>
      </c>
      <c r="E61" s="5" t="s">
        <v>13</v>
      </c>
      <c r="F61" s="17">
        <f t="shared" si="1"/>
        <v>-3100</v>
      </c>
      <c r="G61" s="8" t="s">
        <v>14</v>
      </c>
      <c r="H61" s="17"/>
    </row>
    <row r="62" ht="22.5" customHeight="1">
      <c r="A62" s="4">
        <v>45930.0</v>
      </c>
      <c r="B62" s="5" t="s">
        <v>22</v>
      </c>
      <c r="C62" s="1" t="s">
        <v>27</v>
      </c>
      <c r="D62" s="7">
        <v>-482.0</v>
      </c>
      <c r="E62" s="5" t="s">
        <v>13</v>
      </c>
      <c r="F62" s="17">
        <f t="shared" si="1"/>
        <v>-482</v>
      </c>
      <c r="G62" s="8" t="s">
        <v>14</v>
      </c>
      <c r="H62" s="17"/>
    </row>
    <row r="63" ht="22.5" customHeight="1">
      <c r="A63" s="4">
        <v>45930.0</v>
      </c>
      <c r="B63" s="5" t="s">
        <v>22</v>
      </c>
      <c r="C63" s="1" t="s">
        <v>245</v>
      </c>
      <c r="D63" s="7">
        <v>-13.0</v>
      </c>
      <c r="E63" s="5" t="s">
        <v>13</v>
      </c>
      <c r="F63" s="17">
        <f t="shared" si="1"/>
        <v>-13</v>
      </c>
      <c r="G63" s="8" t="s">
        <v>14</v>
      </c>
      <c r="H63" s="17"/>
    </row>
    <row r="64" ht="22.5" customHeight="1">
      <c r="A64" s="10"/>
      <c r="B64" s="31"/>
      <c r="C64" s="15"/>
      <c r="D64" s="32"/>
      <c r="E64" s="31"/>
      <c r="F64" s="17">
        <f>SUM(F2:F60)</f>
        <v>-33464</v>
      </c>
      <c r="G64" s="26"/>
      <c r="H64" s="26"/>
    </row>
    <row r="65">
      <c r="A65" s="37"/>
      <c r="B65" s="38"/>
      <c r="C65" s="39"/>
      <c r="D65" s="40"/>
      <c r="E65" s="38"/>
      <c r="F65" s="42"/>
      <c r="G65" s="41"/>
      <c r="H65" s="41"/>
    </row>
    <row r="66">
      <c r="A66" s="37"/>
      <c r="B66" s="38"/>
      <c r="C66" s="39"/>
      <c r="D66" s="40"/>
      <c r="E66" s="38"/>
      <c r="F66" s="42"/>
      <c r="G66" s="41"/>
      <c r="H66" s="41"/>
    </row>
    <row r="67">
      <c r="A67" s="37"/>
      <c r="B67" s="38"/>
      <c r="C67" s="39"/>
      <c r="D67" s="40"/>
      <c r="E67" s="38"/>
      <c r="F67" s="42"/>
      <c r="G67" s="41"/>
      <c r="H67" s="41"/>
    </row>
    <row r="68">
      <c r="A68" s="37"/>
      <c r="B68" s="38"/>
      <c r="C68" s="39"/>
      <c r="D68" s="40"/>
      <c r="E68" s="38"/>
      <c r="F68" s="42"/>
      <c r="G68" s="41"/>
      <c r="H68" s="41"/>
    </row>
    <row r="69">
      <c r="A69" s="37"/>
      <c r="B69" s="38"/>
      <c r="C69" s="39"/>
      <c r="D69" s="40"/>
      <c r="E69" s="38"/>
      <c r="F69" s="42"/>
      <c r="G69" s="41"/>
      <c r="H69" s="41"/>
    </row>
    <row r="70">
      <c r="A70" s="37"/>
      <c r="B70" s="38"/>
      <c r="C70" s="39"/>
      <c r="D70" s="40"/>
      <c r="E70" s="38"/>
      <c r="F70" s="42"/>
      <c r="G70" s="41"/>
      <c r="H70" s="41"/>
    </row>
    <row r="71">
      <c r="A71" s="37"/>
      <c r="B71" s="38"/>
      <c r="C71" s="39"/>
      <c r="D71" s="40"/>
      <c r="E71" s="38"/>
      <c r="F71" s="42"/>
      <c r="G71" s="41"/>
      <c r="H71" s="41"/>
    </row>
    <row r="72">
      <c r="F72" s="42"/>
    </row>
    <row r="73">
      <c r="F73" s="42"/>
    </row>
    <row r="74">
      <c r="F74" s="42"/>
    </row>
    <row r="75">
      <c r="F75" s="42"/>
    </row>
    <row r="76">
      <c r="F76" s="42"/>
    </row>
    <row r="77">
      <c r="F77" s="42"/>
    </row>
    <row r="78">
      <c r="F78" s="42"/>
    </row>
    <row r="79">
      <c r="F79" s="42"/>
    </row>
    <row r="80">
      <c r="F80" s="42"/>
    </row>
    <row r="81">
      <c r="F81" s="42"/>
    </row>
    <row r="82">
      <c r="F82" s="42"/>
    </row>
    <row r="83">
      <c r="F83" s="42"/>
    </row>
    <row r="84">
      <c r="F84" s="42"/>
    </row>
    <row r="85">
      <c r="F85" s="42"/>
    </row>
    <row r="86">
      <c r="F86" s="42"/>
    </row>
    <row r="87">
      <c r="F87" s="42"/>
    </row>
    <row r="88">
      <c r="F88" s="42"/>
    </row>
    <row r="89">
      <c r="F89" s="42"/>
    </row>
    <row r="90">
      <c r="F90" s="42"/>
    </row>
    <row r="91">
      <c r="F91" s="42"/>
    </row>
    <row r="92">
      <c r="F92" s="42"/>
    </row>
    <row r="93">
      <c r="F93" s="42"/>
    </row>
    <row r="94">
      <c r="F94" s="42"/>
    </row>
    <row r="95">
      <c r="F95" s="42"/>
    </row>
    <row r="96">
      <c r="F96" s="42"/>
    </row>
    <row r="97">
      <c r="F97" s="42"/>
    </row>
    <row r="98">
      <c r="F98" s="42"/>
    </row>
    <row r="99">
      <c r="F99" s="42"/>
    </row>
    <row r="100">
      <c r="F100" s="42"/>
    </row>
    <row r="101">
      <c r="F101" s="42"/>
    </row>
    <row r="102">
      <c r="F102" s="42"/>
    </row>
    <row r="103">
      <c r="F103" s="42"/>
    </row>
    <row r="104">
      <c r="F104" s="42"/>
    </row>
    <row r="105">
      <c r="F105" s="42"/>
    </row>
    <row r="106">
      <c r="F106" s="42"/>
    </row>
    <row r="107">
      <c r="F107" s="42"/>
    </row>
    <row r="108">
      <c r="F108" s="42"/>
    </row>
    <row r="109">
      <c r="F109" s="42"/>
    </row>
    <row r="110">
      <c r="F110" s="42"/>
    </row>
    <row r="111">
      <c r="F111" s="42"/>
    </row>
    <row r="112">
      <c r="F112" s="42"/>
    </row>
    <row r="113">
      <c r="F113" s="42"/>
    </row>
    <row r="114">
      <c r="F114" s="42"/>
    </row>
    <row r="115">
      <c r="F115" s="42"/>
    </row>
    <row r="116">
      <c r="F116" s="42"/>
    </row>
    <row r="117">
      <c r="F117" s="42"/>
    </row>
    <row r="118">
      <c r="F118" s="42"/>
    </row>
    <row r="119">
      <c r="F119" s="42"/>
    </row>
    <row r="120">
      <c r="F120" s="42"/>
    </row>
    <row r="121">
      <c r="F121" s="42"/>
    </row>
    <row r="122">
      <c r="F122" s="42"/>
    </row>
    <row r="123">
      <c r="F123" s="42"/>
    </row>
    <row r="124">
      <c r="F124" s="42"/>
    </row>
    <row r="125">
      <c r="F125" s="42"/>
    </row>
    <row r="126">
      <c r="F126" s="42"/>
    </row>
    <row r="127">
      <c r="F127" s="42"/>
    </row>
    <row r="128">
      <c r="F128" s="42"/>
    </row>
    <row r="129">
      <c r="F129" s="42"/>
    </row>
    <row r="130">
      <c r="F130" s="42"/>
    </row>
    <row r="131">
      <c r="F131" s="42"/>
    </row>
    <row r="132">
      <c r="F132" s="42"/>
    </row>
    <row r="133">
      <c r="F133" s="42"/>
    </row>
    <row r="134">
      <c r="F134" s="42"/>
    </row>
    <row r="135">
      <c r="F135" s="42"/>
    </row>
    <row r="136">
      <c r="F136" s="42"/>
    </row>
    <row r="137">
      <c r="F137" s="42"/>
    </row>
    <row r="138">
      <c r="F138" s="42"/>
    </row>
    <row r="139">
      <c r="F139" s="42"/>
    </row>
  </sheetData>
  <dataValidations>
    <dataValidation type="list" allowBlank="1" sqref="B2:B63">
      <formula1>"Income,Trasportation,Accommdation,Others,Food,Entertainment "</formula1>
    </dataValidation>
    <dataValidation type="list" allowBlank="1" sqref="E2:E63">
      <formula1>"AUD,TWD,Yen"</formula1>
    </dataValidation>
    <dataValidation type="custom" allowBlank="1" showDropDown="1" sqref="A2:A63">
      <formula1>OR(NOT(ISERROR(DATEVALUE(A2))), AND(ISNUMBER(A2), LEFT(CELL("format", A2))="D"))</formula1>
    </dataValidation>
    <dataValidation type="custom" allowBlank="1" showDropDown="1" sqref="D2:D63">
      <formula1>AND(ISNUMBER(D2),(NOT(OR(NOT(ISERROR(DATEVALUE(D2))), AND(ISNUMBER(D2), LEFT(CELL("format", D2))="D")))))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</hyperlinks>
  <drawing r:id="rId63"/>
  <tableParts count="1">
    <tablePart r:id="rId6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13</v>
      </c>
      <c r="G1" s="2" t="s">
        <v>5</v>
      </c>
      <c r="H1" s="2" t="s">
        <v>118</v>
      </c>
    </row>
    <row r="2" ht="22.5" customHeight="1">
      <c r="A2" s="4">
        <v>45931.0</v>
      </c>
      <c r="B2" s="5" t="s">
        <v>11</v>
      </c>
      <c r="C2" s="6" t="s">
        <v>12</v>
      </c>
      <c r="D2" s="7">
        <v>28000.0</v>
      </c>
      <c r="E2" s="5" t="s">
        <v>13</v>
      </c>
      <c r="F2" s="17">
        <f t="shared" ref="F2:F74" si="1">D2*1</f>
        <v>28000</v>
      </c>
      <c r="G2" s="8" t="s">
        <v>14</v>
      </c>
      <c r="H2" s="17"/>
    </row>
    <row r="3" ht="22.5" customHeight="1">
      <c r="A3" s="4">
        <v>45931.0</v>
      </c>
      <c r="B3" s="5" t="s">
        <v>11</v>
      </c>
      <c r="C3" s="6" t="s">
        <v>15</v>
      </c>
      <c r="D3" s="7">
        <v>22000.0</v>
      </c>
      <c r="E3" s="5" t="s">
        <v>13</v>
      </c>
      <c r="F3" s="17">
        <f t="shared" si="1"/>
        <v>22000</v>
      </c>
      <c r="G3" s="8" t="s">
        <v>16</v>
      </c>
      <c r="H3" s="17"/>
    </row>
    <row r="4" ht="22.5" customHeight="1">
      <c r="A4" s="4">
        <v>45931.0</v>
      </c>
      <c r="B4" s="5" t="s">
        <v>58</v>
      </c>
      <c r="C4" s="6" t="s">
        <v>159</v>
      </c>
      <c r="D4" s="7">
        <v>-29305.0</v>
      </c>
      <c r="E4" s="5" t="s">
        <v>13</v>
      </c>
      <c r="F4" s="17">
        <f t="shared" si="1"/>
        <v>-29305</v>
      </c>
      <c r="G4" s="8" t="s">
        <v>14</v>
      </c>
      <c r="H4" s="17"/>
    </row>
    <row r="5" ht="22.5" customHeight="1">
      <c r="A5" s="4">
        <v>45931.0</v>
      </c>
      <c r="B5" s="5" t="s">
        <v>17</v>
      </c>
      <c r="C5" s="6" t="s">
        <v>20</v>
      </c>
      <c r="D5" s="7">
        <v>-660.0</v>
      </c>
      <c r="E5" s="5" t="s">
        <v>13</v>
      </c>
      <c r="F5" s="17">
        <f t="shared" si="1"/>
        <v>-660</v>
      </c>
      <c r="G5" s="8" t="s">
        <v>14</v>
      </c>
      <c r="H5" s="17"/>
    </row>
    <row r="6" ht="22.5" customHeight="1">
      <c r="A6" s="4">
        <v>45931.0</v>
      </c>
      <c r="B6" s="5" t="s">
        <v>17</v>
      </c>
      <c r="C6" s="6" t="s">
        <v>21</v>
      </c>
      <c r="D6" s="7">
        <v>-479.0</v>
      </c>
      <c r="E6" s="5" t="s">
        <v>13</v>
      </c>
      <c r="F6" s="17">
        <f t="shared" si="1"/>
        <v>-479</v>
      </c>
      <c r="G6" s="8" t="s">
        <v>14</v>
      </c>
      <c r="H6" s="17"/>
    </row>
    <row r="7" ht="22.5" customHeight="1">
      <c r="A7" s="4">
        <v>45931.0</v>
      </c>
      <c r="B7" s="5" t="s">
        <v>17</v>
      </c>
      <c r="C7" s="6" t="s">
        <v>260</v>
      </c>
      <c r="D7" s="7">
        <v>-3533.0</v>
      </c>
      <c r="E7" s="5" t="s">
        <v>13</v>
      </c>
      <c r="F7" s="17">
        <f t="shared" si="1"/>
        <v>-3533</v>
      </c>
      <c r="G7" s="8" t="s">
        <v>14</v>
      </c>
      <c r="H7" s="17"/>
    </row>
    <row r="8" ht="22.5" customHeight="1">
      <c r="A8" s="4">
        <v>45933.0</v>
      </c>
      <c r="B8" s="5" t="s">
        <v>22</v>
      </c>
      <c r="C8" s="6" t="s">
        <v>211</v>
      </c>
      <c r="D8" s="7">
        <v>-43.0</v>
      </c>
      <c r="E8" s="5" t="s">
        <v>13</v>
      </c>
      <c r="F8" s="17">
        <f t="shared" si="1"/>
        <v>-43</v>
      </c>
      <c r="G8" s="8" t="s">
        <v>14</v>
      </c>
      <c r="H8" s="17"/>
    </row>
    <row r="9" ht="22.5" customHeight="1">
      <c r="A9" s="4">
        <v>45934.0</v>
      </c>
      <c r="B9" s="5" t="s">
        <v>17</v>
      </c>
      <c r="C9" s="6" t="s">
        <v>150</v>
      </c>
      <c r="D9" s="7">
        <v>-1826.0</v>
      </c>
      <c r="E9" s="5" t="s">
        <v>13</v>
      </c>
      <c r="F9" s="17">
        <f t="shared" si="1"/>
        <v>-1826</v>
      </c>
      <c r="G9" s="8" t="s">
        <v>14</v>
      </c>
      <c r="H9" s="17"/>
    </row>
    <row r="10" ht="22.5" customHeight="1">
      <c r="A10" s="4">
        <v>45934.0</v>
      </c>
      <c r="B10" s="5" t="s">
        <v>22</v>
      </c>
      <c r="C10" s="6" t="s">
        <v>261</v>
      </c>
      <c r="D10" s="7">
        <v>-112.0</v>
      </c>
      <c r="E10" s="5" t="s">
        <v>13</v>
      </c>
      <c r="F10" s="17">
        <f t="shared" si="1"/>
        <v>-112</v>
      </c>
      <c r="G10" s="8" t="s">
        <v>14</v>
      </c>
      <c r="H10" s="17"/>
    </row>
    <row r="11" ht="22.5" customHeight="1">
      <c r="A11" s="4">
        <v>45934.0</v>
      </c>
      <c r="B11" s="5" t="s">
        <v>22</v>
      </c>
      <c r="C11" s="6" t="s">
        <v>262</v>
      </c>
      <c r="D11" s="7">
        <v>-160.0</v>
      </c>
      <c r="E11" s="5" t="s">
        <v>13</v>
      </c>
      <c r="F11" s="17">
        <f t="shared" si="1"/>
        <v>-160</v>
      </c>
      <c r="G11" s="8" t="s">
        <v>14</v>
      </c>
      <c r="H11" s="17"/>
    </row>
    <row r="12" ht="22.5" customHeight="1">
      <c r="A12" s="4">
        <v>45934.0</v>
      </c>
      <c r="B12" s="5" t="s">
        <v>22</v>
      </c>
      <c r="C12" s="6" t="s">
        <v>263</v>
      </c>
      <c r="D12" s="7">
        <v>-40.0</v>
      </c>
      <c r="E12" s="5" t="s">
        <v>13</v>
      </c>
      <c r="F12" s="17">
        <f t="shared" si="1"/>
        <v>-40</v>
      </c>
      <c r="G12" s="8" t="s">
        <v>14</v>
      </c>
      <c r="H12" s="17"/>
    </row>
    <row r="13" ht="22.5" customHeight="1">
      <c r="A13" s="4">
        <v>45934.0</v>
      </c>
      <c r="B13" s="5" t="s">
        <v>22</v>
      </c>
      <c r="C13" s="6" t="s">
        <v>264</v>
      </c>
      <c r="D13" s="7">
        <v>-180.0</v>
      </c>
      <c r="E13" s="5" t="s">
        <v>13</v>
      </c>
      <c r="F13" s="17">
        <f t="shared" si="1"/>
        <v>-180</v>
      </c>
      <c r="G13" s="8" t="s">
        <v>14</v>
      </c>
      <c r="H13" s="17"/>
    </row>
    <row r="14" ht="22.5" customHeight="1">
      <c r="A14" s="4">
        <v>45934.0</v>
      </c>
      <c r="B14" s="5" t="s">
        <v>22</v>
      </c>
      <c r="C14" s="6" t="s">
        <v>265</v>
      </c>
      <c r="D14" s="7">
        <v>-100.0</v>
      </c>
      <c r="E14" s="5" t="s">
        <v>13</v>
      </c>
      <c r="F14" s="17">
        <f t="shared" si="1"/>
        <v>-100</v>
      </c>
      <c r="G14" s="8" t="s">
        <v>14</v>
      </c>
      <c r="H14" s="17"/>
    </row>
    <row r="15" ht="22.5" customHeight="1">
      <c r="A15" s="4">
        <v>45935.0</v>
      </c>
      <c r="B15" s="5" t="s">
        <v>22</v>
      </c>
      <c r="C15" s="6" t="s">
        <v>249</v>
      </c>
      <c r="D15" s="7">
        <v>-594.0</v>
      </c>
      <c r="E15" s="5" t="s">
        <v>13</v>
      </c>
      <c r="F15" s="17">
        <f t="shared" si="1"/>
        <v>-594</v>
      </c>
      <c r="G15" s="8" t="s">
        <v>14</v>
      </c>
      <c r="H15" s="17"/>
    </row>
    <row r="16" ht="22.5" customHeight="1">
      <c r="A16" s="4">
        <v>45935.0</v>
      </c>
      <c r="B16" s="5" t="s">
        <v>22</v>
      </c>
      <c r="C16" s="6" t="s">
        <v>266</v>
      </c>
      <c r="D16" s="7">
        <v>-410.0</v>
      </c>
      <c r="E16" s="5" t="s">
        <v>13</v>
      </c>
      <c r="F16" s="17">
        <f t="shared" si="1"/>
        <v>-410</v>
      </c>
      <c r="G16" s="8" t="s">
        <v>14</v>
      </c>
      <c r="H16" s="17"/>
    </row>
    <row r="17" ht="22.5" customHeight="1">
      <c r="A17" s="4">
        <v>45935.0</v>
      </c>
      <c r="B17" s="5" t="s">
        <v>22</v>
      </c>
      <c r="C17" s="6" t="s">
        <v>267</v>
      </c>
      <c r="D17" s="7">
        <v>-312.0</v>
      </c>
      <c r="E17" s="5" t="s">
        <v>13</v>
      </c>
      <c r="F17" s="17">
        <f t="shared" si="1"/>
        <v>-312</v>
      </c>
      <c r="G17" s="8" t="s">
        <v>14</v>
      </c>
      <c r="H17" s="17"/>
    </row>
    <row r="18" ht="22.5" customHeight="1">
      <c r="A18" s="4">
        <v>45935.0</v>
      </c>
      <c r="B18" s="5" t="s">
        <v>22</v>
      </c>
      <c r="C18" s="6" t="s">
        <v>264</v>
      </c>
      <c r="D18" s="7">
        <v>-200.0</v>
      </c>
      <c r="E18" s="5" t="s">
        <v>13</v>
      </c>
      <c r="F18" s="17">
        <f t="shared" si="1"/>
        <v>-200</v>
      </c>
      <c r="G18" s="8" t="s">
        <v>14</v>
      </c>
      <c r="H18" s="17"/>
    </row>
    <row r="19" ht="22.5" customHeight="1">
      <c r="A19" s="4">
        <v>45935.0</v>
      </c>
      <c r="B19" s="5" t="s">
        <v>22</v>
      </c>
      <c r="C19" s="6" t="s">
        <v>265</v>
      </c>
      <c r="D19" s="7">
        <v>-100.0</v>
      </c>
      <c r="E19" s="5" t="s">
        <v>13</v>
      </c>
      <c r="F19" s="17">
        <f t="shared" si="1"/>
        <v>-100</v>
      </c>
      <c r="G19" s="8" t="s">
        <v>14</v>
      </c>
      <c r="H19" s="17"/>
    </row>
    <row r="20" ht="22.5" customHeight="1">
      <c r="A20" s="4">
        <v>45935.0</v>
      </c>
      <c r="B20" s="5" t="s">
        <v>22</v>
      </c>
      <c r="C20" s="6" t="s">
        <v>268</v>
      </c>
      <c r="D20" s="7">
        <v>-260.0</v>
      </c>
      <c r="E20" s="5" t="s">
        <v>13</v>
      </c>
      <c r="F20" s="17">
        <f t="shared" si="1"/>
        <v>-260</v>
      </c>
      <c r="G20" s="8" t="s">
        <v>14</v>
      </c>
      <c r="H20" s="17"/>
    </row>
    <row r="21" ht="22.5" customHeight="1">
      <c r="A21" s="4">
        <v>45936.0</v>
      </c>
      <c r="B21" s="5" t="s">
        <v>22</v>
      </c>
      <c r="C21" s="6" t="s">
        <v>211</v>
      </c>
      <c r="D21" s="7">
        <v>-77.0</v>
      </c>
      <c r="E21" s="5" t="s">
        <v>13</v>
      </c>
      <c r="F21" s="17">
        <f t="shared" si="1"/>
        <v>-77</v>
      </c>
      <c r="G21" s="8" t="s">
        <v>14</v>
      </c>
      <c r="H21" s="17"/>
    </row>
    <row r="22" ht="22.5" customHeight="1">
      <c r="A22" s="4">
        <v>45936.0</v>
      </c>
      <c r="B22" s="5" t="s">
        <v>22</v>
      </c>
      <c r="C22" s="6" t="s">
        <v>27</v>
      </c>
      <c r="D22" s="7">
        <v>-475.0</v>
      </c>
      <c r="E22" s="5" t="s">
        <v>13</v>
      </c>
      <c r="F22" s="17">
        <f t="shared" si="1"/>
        <v>-475</v>
      </c>
      <c r="G22" s="8" t="s">
        <v>14</v>
      </c>
      <c r="H22" s="17"/>
    </row>
    <row r="23" ht="22.5" customHeight="1">
      <c r="A23" s="4">
        <v>45936.0</v>
      </c>
      <c r="B23" s="5" t="s">
        <v>30</v>
      </c>
      <c r="C23" s="6" t="s">
        <v>263</v>
      </c>
      <c r="D23" s="7">
        <v>-30.0</v>
      </c>
      <c r="E23" s="5" t="s">
        <v>13</v>
      </c>
      <c r="F23" s="17">
        <f t="shared" si="1"/>
        <v>-30</v>
      </c>
      <c r="G23" s="8" t="s">
        <v>14</v>
      </c>
      <c r="H23" s="17"/>
    </row>
    <row r="24" ht="22.5" customHeight="1">
      <c r="A24" s="4">
        <v>45937.0</v>
      </c>
      <c r="B24" s="5" t="s">
        <v>22</v>
      </c>
      <c r="C24" s="6" t="s">
        <v>211</v>
      </c>
      <c r="D24" s="7">
        <v>-128.0</v>
      </c>
      <c r="E24" s="5" t="s">
        <v>13</v>
      </c>
      <c r="F24" s="17">
        <f t="shared" si="1"/>
        <v>-128</v>
      </c>
      <c r="G24" s="8" t="s">
        <v>14</v>
      </c>
      <c r="H24" s="17"/>
    </row>
    <row r="25" ht="22.5" customHeight="1">
      <c r="A25" s="4">
        <v>45939.0</v>
      </c>
      <c r="B25" s="5" t="s">
        <v>22</v>
      </c>
      <c r="C25" s="6" t="s">
        <v>269</v>
      </c>
      <c r="D25" s="7">
        <v>-430.0</v>
      </c>
      <c r="E25" s="5" t="s">
        <v>13</v>
      </c>
      <c r="F25" s="17">
        <f t="shared" si="1"/>
        <v>-430</v>
      </c>
      <c r="G25" s="8" t="s">
        <v>14</v>
      </c>
      <c r="H25" s="17"/>
    </row>
    <row r="26" ht="22.5" customHeight="1">
      <c r="A26" s="4">
        <v>45940.0</v>
      </c>
      <c r="B26" s="5" t="s">
        <v>22</v>
      </c>
      <c r="C26" s="6" t="s">
        <v>249</v>
      </c>
      <c r="D26" s="7">
        <v>-363.0</v>
      </c>
      <c r="E26" s="5" t="s">
        <v>13</v>
      </c>
      <c r="F26" s="17">
        <f t="shared" si="1"/>
        <v>-363</v>
      </c>
      <c r="G26" s="8" t="s">
        <v>14</v>
      </c>
      <c r="H26" s="17"/>
    </row>
    <row r="27" ht="22.5" customHeight="1">
      <c r="A27" s="4">
        <v>45940.0</v>
      </c>
      <c r="B27" s="5" t="s">
        <v>22</v>
      </c>
      <c r="C27" s="6" t="s">
        <v>211</v>
      </c>
      <c r="D27" s="7">
        <v>-133.0</v>
      </c>
      <c r="E27" s="5" t="s">
        <v>13</v>
      </c>
      <c r="F27" s="17">
        <f t="shared" si="1"/>
        <v>-133</v>
      </c>
      <c r="G27" s="8" t="s">
        <v>14</v>
      </c>
      <c r="H27" s="17"/>
    </row>
    <row r="28" ht="22.5" customHeight="1">
      <c r="A28" s="4">
        <v>45940.0</v>
      </c>
      <c r="B28" s="5" t="s">
        <v>22</v>
      </c>
      <c r="C28" s="6" t="s">
        <v>211</v>
      </c>
      <c r="D28" s="7">
        <v>-133.0</v>
      </c>
      <c r="E28" s="5" t="s">
        <v>13</v>
      </c>
      <c r="F28" s="17">
        <f t="shared" si="1"/>
        <v>-133</v>
      </c>
      <c r="G28" s="8" t="s">
        <v>14</v>
      </c>
      <c r="H28" s="17"/>
    </row>
    <row r="29" ht="22.5" customHeight="1">
      <c r="A29" s="4">
        <v>45941.0</v>
      </c>
      <c r="B29" s="5" t="s">
        <v>22</v>
      </c>
      <c r="C29" s="6" t="s">
        <v>211</v>
      </c>
      <c r="D29" s="7">
        <v>-90.0</v>
      </c>
      <c r="E29" s="5" t="s">
        <v>13</v>
      </c>
      <c r="F29" s="17">
        <f t="shared" si="1"/>
        <v>-90</v>
      </c>
      <c r="G29" s="8" t="s">
        <v>14</v>
      </c>
      <c r="H29" s="17"/>
    </row>
    <row r="30" ht="22.5" customHeight="1">
      <c r="A30" s="4">
        <v>45942.0</v>
      </c>
      <c r="B30" s="5" t="s">
        <v>22</v>
      </c>
      <c r="C30" s="6" t="s">
        <v>270</v>
      </c>
      <c r="D30" s="7">
        <v>-300.0</v>
      </c>
      <c r="E30" s="5" t="s">
        <v>13</v>
      </c>
      <c r="F30" s="17">
        <f t="shared" si="1"/>
        <v>-300</v>
      </c>
      <c r="G30" s="8" t="s">
        <v>14</v>
      </c>
      <c r="H30" s="17"/>
    </row>
    <row r="31" ht="22.5" customHeight="1">
      <c r="A31" s="4">
        <v>45942.0</v>
      </c>
      <c r="B31" s="5" t="s">
        <v>22</v>
      </c>
      <c r="C31" s="6" t="s">
        <v>271</v>
      </c>
      <c r="D31" s="7">
        <v>-180.0</v>
      </c>
      <c r="E31" s="5" t="s">
        <v>13</v>
      </c>
      <c r="F31" s="17">
        <f t="shared" si="1"/>
        <v>-180</v>
      </c>
      <c r="G31" s="8" t="s">
        <v>14</v>
      </c>
      <c r="H31" s="17"/>
    </row>
    <row r="32" ht="22.5" customHeight="1">
      <c r="A32" s="4">
        <v>45942.0</v>
      </c>
      <c r="B32" s="5" t="s">
        <v>22</v>
      </c>
      <c r="C32" s="6" t="s">
        <v>211</v>
      </c>
      <c r="D32" s="7">
        <v>-90.0</v>
      </c>
      <c r="E32" s="5" t="s">
        <v>13</v>
      </c>
      <c r="F32" s="17">
        <f t="shared" si="1"/>
        <v>-90</v>
      </c>
      <c r="G32" s="8" t="s">
        <v>14</v>
      </c>
      <c r="H32" s="17"/>
    </row>
    <row r="33" ht="22.5" customHeight="1">
      <c r="A33" s="4">
        <v>45942.0</v>
      </c>
      <c r="B33" s="5" t="s">
        <v>22</v>
      </c>
      <c r="C33" s="6" t="s">
        <v>211</v>
      </c>
      <c r="D33" s="7">
        <v>-38.0</v>
      </c>
      <c r="E33" s="5" t="s">
        <v>13</v>
      </c>
      <c r="F33" s="17">
        <f t="shared" si="1"/>
        <v>-38</v>
      </c>
      <c r="G33" s="8" t="s">
        <v>14</v>
      </c>
      <c r="H33" s="17"/>
    </row>
    <row r="34" ht="22.5" customHeight="1">
      <c r="A34" s="4">
        <v>45942.0</v>
      </c>
      <c r="B34" s="5" t="s">
        <v>22</v>
      </c>
      <c r="C34" s="6" t="s">
        <v>211</v>
      </c>
      <c r="D34" s="7">
        <v>-141.0</v>
      </c>
      <c r="E34" s="5" t="s">
        <v>13</v>
      </c>
      <c r="F34" s="17">
        <f t="shared" si="1"/>
        <v>-141</v>
      </c>
      <c r="G34" s="8" t="s">
        <v>14</v>
      </c>
      <c r="H34" s="17"/>
    </row>
    <row r="35" ht="22.5" customHeight="1">
      <c r="A35" s="4">
        <v>45943.0</v>
      </c>
      <c r="B35" s="5" t="s">
        <v>22</v>
      </c>
      <c r="C35" s="6" t="s">
        <v>272</v>
      </c>
      <c r="D35" s="7">
        <v>-280.0</v>
      </c>
      <c r="E35" s="5" t="s">
        <v>13</v>
      </c>
      <c r="F35" s="17">
        <f t="shared" si="1"/>
        <v>-280</v>
      </c>
      <c r="G35" s="8" t="s">
        <v>14</v>
      </c>
      <c r="H35" s="17"/>
    </row>
    <row r="36" ht="22.5" customHeight="1">
      <c r="A36" s="4">
        <v>45943.0</v>
      </c>
      <c r="B36" s="5" t="s">
        <v>22</v>
      </c>
      <c r="C36" s="6" t="s">
        <v>211</v>
      </c>
      <c r="D36" s="7">
        <v>-171.0</v>
      </c>
      <c r="E36" s="5" t="s">
        <v>13</v>
      </c>
      <c r="F36" s="17">
        <f t="shared" si="1"/>
        <v>-171</v>
      </c>
      <c r="G36" s="8" t="s">
        <v>14</v>
      </c>
      <c r="H36" s="17"/>
    </row>
    <row r="37" ht="22.5" customHeight="1">
      <c r="A37" s="4">
        <v>45943.0</v>
      </c>
      <c r="B37" s="5" t="s">
        <v>22</v>
      </c>
      <c r="C37" s="6" t="s">
        <v>211</v>
      </c>
      <c r="D37" s="7">
        <v>-13.0</v>
      </c>
      <c r="E37" s="5" t="s">
        <v>13</v>
      </c>
      <c r="F37" s="17">
        <f t="shared" si="1"/>
        <v>-13</v>
      </c>
      <c r="G37" s="8" t="s">
        <v>14</v>
      </c>
      <c r="H37" s="17"/>
    </row>
    <row r="38" ht="22.5" customHeight="1">
      <c r="A38" s="4">
        <v>45944.0</v>
      </c>
      <c r="B38" s="5" t="s">
        <v>22</v>
      </c>
      <c r="C38" s="6" t="s">
        <v>27</v>
      </c>
      <c r="D38" s="7">
        <v>-244.0</v>
      </c>
      <c r="E38" s="5" t="s">
        <v>13</v>
      </c>
      <c r="F38" s="17">
        <f t="shared" si="1"/>
        <v>-244</v>
      </c>
      <c r="G38" s="8" t="s">
        <v>14</v>
      </c>
      <c r="H38" s="17"/>
    </row>
    <row r="39" ht="22.5" customHeight="1">
      <c r="A39" s="4">
        <v>45944.0</v>
      </c>
      <c r="B39" s="5" t="s">
        <v>17</v>
      </c>
      <c r="C39" s="6" t="s">
        <v>98</v>
      </c>
      <c r="D39" s="7">
        <v>-133.0</v>
      </c>
      <c r="E39" s="5" t="s">
        <v>13</v>
      </c>
      <c r="F39" s="17">
        <f t="shared" si="1"/>
        <v>-133</v>
      </c>
      <c r="G39" s="8" t="s">
        <v>16</v>
      </c>
      <c r="H39" s="17"/>
    </row>
    <row r="40" ht="22.5" customHeight="1">
      <c r="A40" s="4">
        <v>45945.0</v>
      </c>
      <c r="B40" s="5" t="s">
        <v>30</v>
      </c>
      <c r="C40" s="6" t="s">
        <v>31</v>
      </c>
      <c r="D40" s="7">
        <v>-60.0</v>
      </c>
      <c r="E40" s="5" t="s">
        <v>13</v>
      </c>
      <c r="F40" s="17">
        <f t="shared" si="1"/>
        <v>-60</v>
      </c>
      <c r="G40" s="8" t="s">
        <v>14</v>
      </c>
      <c r="H40" s="17"/>
    </row>
    <row r="41" ht="22.5" customHeight="1">
      <c r="A41" s="4">
        <v>45945.0</v>
      </c>
      <c r="B41" s="5" t="s">
        <v>17</v>
      </c>
      <c r="C41" s="6" t="s">
        <v>273</v>
      </c>
      <c r="D41" s="7">
        <v>-20000.0</v>
      </c>
      <c r="E41" s="5" t="s">
        <v>13</v>
      </c>
      <c r="F41" s="17">
        <f t="shared" si="1"/>
        <v>-20000</v>
      </c>
      <c r="G41" s="8" t="s">
        <v>14</v>
      </c>
      <c r="H41" s="17"/>
    </row>
    <row r="42" ht="22.5" customHeight="1">
      <c r="A42" s="4">
        <v>45945.0</v>
      </c>
      <c r="B42" s="5" t="s">
        <v>22</v>
      </c>
      <c r="C42" s="6" t="s">
        <v>211</v>
      </c>
      <c r="D42" s="7">
        <v>-142.0</v>
      </c>
      <c r="E42" s="5" t="s">
        <v>13</v>
      </c>
      <c r="F42" s="17">
        <f t="shared" si="1"/>
        <v>-142</v>
      </c>
      <c r="G42" s="8" t="s">
        <v>14</v>
      </c>
      <c r="H42" s="17"/>
    </row>
    <row r="43" ht="22.5" customHeight="1">
      <c r="A43" s="4">
        <v>45945.0</v>
      </c>
      <c r="B43" s="5" t="s">
        <v>17</v>
      </c>
      <c r="C43" s="6" t="s">
        <v>236</v>
      </c>
      <c r="D43" s="7">
        <v>-90.0</v>
      </c>
      <c r="E43" s="5" t="s">
        <v>13</v>
      </c>
      <c r="F43" s="17">
        <f t="shared" si="1"/>
        <v>-90</v>
      </c>
      <c r="G43" s="8" t="s">
        <v>14</v>
      </c>
      <c r="H43" s="17"/>
    </row>
    <row r="44" ht="22.5" customHeight="1">
      <c r="A44" s="4">
        <v>45945.0</v>
      </c>
      <c r="B44" s="5" t="s">
        <v>17</v>
      </c>
      <c r="C44" s="6" t="s">
        <v>26</v>
      </c>
      <c r="D44" s="7">
        <v>-7880.0</v>
      </c>
      <c r="E44" s="5" t="s">
        <v>13</v>
      </c>
      <c r="F44" s="17">
        <f t="shared" si="1"/>
        <v>-7880</v>
      </c>
      <c r="G44" s="8" t="s">
        <v>14</v>
      </c>
      <c r="H44" s="17"/>
    </row>
    <row r="45" ht="22.5" customHeight="1">
      <c r="A45" s="4">
        <v>45946.0</v>
      </c>
      <c r="B45" s="5" t="s">
        <v>22</v>
      </c>
      <c r="C45" s="6" t="s">
        <v>211</v>
      </c>
      <c r="D45" s="7">
        <v>-56.0</v>
      </c>
      <c r="E45" s="5" t="s">
        <v>13</v>
      </c>
      <c r="F45" s="17">
        <f t="shared" si="1"/>
        <v>-56</v>
      </c>
      <c r="G45" s="8" t="s">
        <v>14</v>
      </c>
      <c r="H45" s="17"/>
    </row>
    <row r="46" ht="22.5" customHeight="1">
      <c r="A46" s="4">
        <v>45946.0</v>
      </c>
      <c r="B46" s="5" t="s">
        <v>22</v>
      </c>
      <c r="C46" s="6" t="s">
        <v>274</v>
      </c>
      <c r="D46" s="7">
        <v>-770.0</v>
      </c>
      <c r="E46" s="5" t="s">
        <v>13</v>
      </c>
      <c r="F46" s="17">
        <f t="shared" si="1"/>
        <v>-770</v>
      </c>
      <c r="G46" s="8" t="s">
        <v>14</v>
      </c>
      <c r="H46" s="17"/>
    </row>
    <row r="47" ht="22.5" customHeight="1">
      <c r="A47" s="4">
        <v>45946.0</v>
      </c>
      <c r="B47" s="5" t="s">
        <v>22</v>
      </c>
      <c r="C47" s="6" t="s">
        <v>211</v>
      </c>
      <c r="D47" s="7">
        <v>-79.0</v>
      </c>
      <c r="E47" s="5" t="s">
        <v>13</v>
      </c>
      <c r="F47" s="17">
        <f t="shared" si="1"/>
        <v>-79</v>
      </c>
      <c r="G47" s="8" t="s">
        <v>14</v>
      </c>
      <c r="H47" s="17"/>
    </row>
    <row r="48" ht="22.5" customHeight="1">
      <c r="A48" s="4">
        <v>45947.0</v>
      </c>
      <c r="B48" s="5" t="s">
        <v>22</v>
      </c>
      <c r="C48" s="6" t="s">
        <v>211</v>
      </c>
      <c r="D48" s="7">
        <v>-65.0</v>
      </c>
      <c r="E48" s="5" t="s">
        <v>13</v>
      </c>
      <c r="F48" s="17">
        <f t="shared" si="1"/>
        <v>-65</v>
      </c>
      <c r="G48" s="8" t="s">
        <v>14</v>
      </c>
      <c r="H48" s="17"/>
    </row>
    <row r="49" ht="22.5" customHeight="1">
      <c r="A49" s="4">
        <v>45948.0</v>
      </c>
      <c r="B49" s="5" t="s">
        <v>22</v>
      </c>
      <c r="C49" s="6" t="s">
        <v>156</v>
      </c>
      <c r="D49" s="7">
        <v>-1060.0</v>
      </c>
      <c r="E49" s="5" t="s">
        <v>13</v>
      </c>
      <c r="F49" s="17">
        <f t="shared" si="1"/>
        <v>-1060</v>
      </c>
      <c r="G49" s="8" t="s">
        <v>14</v>
      </c>
      <c r="H49" s="17"/>
    </row>
    <row r="50" ht="22.5" customHeight="1">
      <c r="A50" s="4">
        <v>45948.0</v>
      </c>
      <c r="B50" s="5" t="s">
        <v>22</v>
      </c>
      <c r="C50" s="6" t="s">
        <v>275</v>
      </c>
      <c r="D50" s="7">
        <v>-350.0</v>
      </c>
      <c r="E50" s="5" t="s">
        <v>13</v>
      </c>
      <c r="F50" s="17">
        <f t="shared" si="1"/>
        <v>-350</v>
      </c>
      <c r="G50" s="8" t="s">
        <v>14</v>
      </c>
      <c r="H50" s="17"/>
    </row>
    <row r="51" ht="22.5" customHeight="1">
      <c r="A51" s="4">
        <v>45948.0</v>
      </c>
      <c r="B51" s="5" t="s">
        <v>22</v>
      </c>
      <c r="C51" s="6" t="s">
        <v>276</v>
      </c>
      <c r="D51" s="7">
        <v>-600.0</v>
      </c>
      <c r="E51" s="5" t="s">
        <v>13</v>
      </c>
      <c r="F51" s="17">
        <f t="shared" si="1"/>
        <v>-600</v>
      </c>
      <c r="G51" s="8" t="s">
        <v>14</v>
      </c>
      <c r="H51" s="17"/>
    </row>
    <row r="52" ht="22.5" customHeight="1">
      <c r="A52" s="4">
        <v>45948.0</v>
      </c>
      <c r="B52" s="5" t="s">
        <v>22</v>
      </c>
      <c r="C52" s="6" t="s">
        <v>277</v>
      </c>
      <c r="D52" s="7">
        <v>-65.0</v>
      </c>
      <c r="E52" s="5" t="s">
        <v>13</v>
      </c>
      <c r="F52" s="17">
        <f t="shared" si="1"/>
        <v>-65</v>
      </c>
      <c r="G52" s="8" t="s">
        <v>14</v>
      </c>
      <c r="H52" s="17"/>
    </row>
    <row r="53" ht="22.5" customHeight="1">
      <c r="A53" s="4">
        <v>45949.0</v>
      </c>
      <c r="B53" s="5" t="s">
        <v>22</v>
      </c>
      <c r="C53" s="6" t="s">
        <v>211</v>
      </c>
      <c r="D53" s="7">
        <v>-133.0</v>
      </c>
      <c r="E53" s="5" t="s">
        <v>13</v>
      </c>
      <c r="F53" s="17">
        <f t="shared" si="1"/>
        <v>-133</v>
      </c>
      <c r="G53" s="8" t="s">
        <v>14</v>
      </c>
      <c r="H53" s="17"/>
    </row>
    <row r="54" ht="22.5" customHeight="1">
      <c r="A54" s="4">
        <v>45949.0</v>
      </c>
      <c r="B54" s="5" t="s">
        <v>22</v>
      </c>
      <c r="C54" s="6" t="s">
        <v>278</v>
      </c>
      <c r="D54" s="7">
        <v>-150.0</v>
      </c>
      <c r="E54" s="5" t="s">
        <v>13</v>
      </c>
      <c r="F54" s="17">
        <f t="shared" si="1"/>
        <v>-150</v>
      </c>
      <c r="G54" s="8" t="s">
        <v>14</v>
      </c>
      <c r="H54" s="17"/>
    </row>
    <row r="55" ht="22.5" customHeight="1">
      <c r="A55" s="4">
        <v>45949.0</v>
      </c>
      <c r="B55" s="5" t="s">
        <v>22</v>
      </c>
      <c r="C55" s="6" t="s">
        <v>211</v>
      </c>
      <c r="D55" s="7">
        <v>-19.0</v>
      </c>
      <c r="E55" s="5" t="s">
        <v>13</v>
      </c>
      <c r="F55" s="17">
        <f t="shared" si="1"/>
        <v>-19</v>
      </c>
      <c r="G55" s="8" t="s">
        <v>14</v>
      </c>
      <c r="H55" s="17"/>
    </row>
    <row r="56" ht="22.5" customHeight="1">
      <c r="A56" s="4">
        <v>45949.0</v>
      </c>
      <c r="B56" s="5" t="s">
        <v>22</v>
      </c>
      <c r="C56" s="6" t="s">
        <v>272</v>
      </c>
      <c r="D56" s="7">
        <v>-600.0</v>
      </c>
      <c r="E56" s="5" t="s">
        <v>13</v>
      </c>
      <c r="F56" s="17">
        <f t="shared" si="1"/>
        <v>-600</v>
      </c>
      <c r="G56" s="8" t="s">
        <v>14</v>
      </c>
      <c r="H56" s="17"/>
    </row>
    <row r="57" ht="22.5" customHeight="1">
      <c r="A57" s="4">
        <v>45951.0</v>
      </c>
      <c r="B57" s="5" t="s">
        <v>22</v>
      </c>
      <c r="C57" s="6" t="s">
        <v>249</v>
      </c>
      <c r="D57" s="7">
        <v>-542.0</v>
      </c>
      <c r="E57" s="5" t="s">
        <v>13</v>
      </c>
      <c r="F57" s="17">
        <f t="shared" si="1"/>
        <v>-542</v>
      </c>
      <c r="G57" s="8" t="s">
        <v>14</v>
      </c>
      <c r="H57" s="17"/>
    </row>
    <row r="58" ht="22.5" customHeight="1">
      <c r="A58" s="4">
        <v>45952.0</v>
      </c>
      <c r="B58" s="5" t="s">
        <v>22</v>
      </c>
      <c r="C58" s="6" t="s">
        <v>211</v>
      </c>
      <c r="D58" s="7">
        <v>-99.0</v>
      </c>
      <c r="E58" s="5" t="s">
        <v>13</v>
      </c>
      <c r="F58" s="17">
        <f t="shared" si="1"/>
        <v>-99</v>
      </c>
      <c r="G58" s="8" t="s">
        <v>14</v>
      </c>
      <c r="H58" s="17"/>
    </row>
    <row r="59" ht="22.5" customHeight="1">
      <c r="A59" s="4">
        <v>45955.0</v>
      </c>
      <c r="B59" s="5" t="s">
        <v>22</v>
      </c>
      <c r="C59" s="6" t="s">
        <v>279</v>
      </c>
      <c r="D59" s="7">
        <v>-220.0</v>
      </c>
      <c r="E59" s="5" t="s">
        <v>13</v>
      </c>
      <c r="F59" s="17">
        <f t="shared" si="1"/>
        <v>-220</v>
      </c>
      <c r="G59" s="8" t="s">
        <v>14</v>
      </c>
      <c r="H59" s="17"/>
    </row>
    <row r="60" ht="22.5" customHeight="1">
      <c r="A60" s="4">
        <v>45956.0</v>
      </c>
      <c r="B60" s="5" t="s">
        <v>22</v>
      </c>
      <c r="C60" s="6" t="s">
        <v>211</v>
      </c>
      <c r="D60" s="7">
        <v>-135.0</v>
      </c>
      <c r="E60" s="5" t="s">
        <v>13</v>
      </c>
      <c r="F60" s="17">
        <f t="shared" si="1"/>
        <v>-135</v>
      </c>
      <c r="G60" s="8" t="s">
        <v>14</v>
      </c>
      <c r="H60" s="17"/>
    </row>
    <row r="61" ht="22.5" customHeight="1">
      <c r="A61" s="4">
        <v>45956.0</v>
      </c>
      <c r="B61" s="5" t="s">
        <v>22</v>
      </c>
      <c r="C61" s="6" t="s">
        <v>280</v>
      </c>
      <c r="D61" s="7">
        <v>-320.0</v>
      </c>
      <c r="E61" s="5" t="s">
        <v>13</v>
      </c>
      <c r="F61" s="17">
        <f t="shared" si="1"/>
        <v>-320</v>
      </c>
      <c r="G61" s="8" t="s">
        <v>14</v>
      </c>
      <c r="H61" s="17"/>
    </row>
    <row r="62" ht="22.5" customHeight="1">
      <c r="A62" s="4">
        <v>45956.0</v>
      </c>
      <c r="B62" s="5" t="s">
        <v>30</v>
      </c>
      <c r="C62" s="6" t="s">
        <v>281</v>
      </c>
      <c r="D62" s="7">
        <v>-220.0</v>
      </c>
      <c r="E62" s="5" t="s">
        <v>13</v>
      </c>
      <c r="F62" s="17">
        <f t="shared" si="1"/>
        <v>-220</v>
      </c>
      <c r="G62" s="8" t="s">
        <v>14</v>
      </c>
      <c r="H62" s="17"/>
    </row>
    <row r="63" ht="22.5" customHeight="1">
      <c r="A63" s="4">
        <v>45956.0</v>
      </c>
      <c r="B63" s="5" t="s">
        <v>22</v>
      </c>
      <c r="C63" s="6" t="s">
        <v>29</v>
      </c>
      <c r="D63" s="7">
        <v>-1884.0</v>
      </c>
      <c r="E63" s="5" t="s">
        <v>13</v>
      </c>
      <c r="F63" s="17">
        <f t="shared" si="1"/>
        <v>-1884</v>
      </c>
      <c r="G63" s="8" t="s">
        <v>16</v>
      </c>
      <c r="H63" s="17"/>
    </row>
    <row r="64" ht="22.5" customHeight="1">
      <c r="A64" s="4">
        <v>45956.0</v>
      </c>
      <c r="B64" s="5" t="s">
        <v>22</v>
      </c>
      <c r="C64" s="6" t="s">
        <v>29</v>
      </c>
      <c r="D64" s="7">
        <v>-99.0</v>
      </c>
      <c r="E64" s="5" t="s">
        <v>13</v>
      </c>
      <c r="F64" s="17">
        <f t="shared" si="1"/>
        <v>-99</v>
      </c>
      <c r="G64" s="8" t="s">
        <v>14</v>
      </c>
      <c r="H64" s="17"/>
    </row>
    <row r="65" ht="22.5" customHeight="1">
      <c r="A65" s="4">
        <v>45957.0</v>
      </c>
      <c r="B65" s="5" t="s">
        <v>22</v>
      </c>
      <c r="C65" s="6" t="s">
        <v>211</v>
      </c>
      <c r="D65" s="7">
        <v>-28.0</v>
      </c>
      <c r="E65" s="5" t="s">
        <v>13</v>
      </c>
      <c r="F65" s="17">
        <f t="shared" si="1"/>
        <v>-28</v>
      </c>
      <c r="G65" s="8" t="s">
        <v>14</v>
      </c>
      <c r="H65" s="17"/>
    </row>
    <row r="66" ht="22.5" customHeight="1">
      <c r="A66" s="4">
        <v>45957.0</v>
      </c>
      <c r="B66" s="5" t="s">
        <v>22</v>
      </c>
      <c r="C66" s="6" t="s">
        <v>211</v>
      </c>
      <c r="D66" s="7">
        <v>-127.0</v>
      </c>
      <c r="E66" s="5" t="s">
        <v>13</v>
      </c>
      <c r="F66" s="17">
        <f t="shared" si="1"/>
        <v>-127</v>
      </c>
      <c r="G66" s="17"/>
      <c r="H66" s="17"/>
    </row>
    <row r="67" ht="22.5" customHeight="1">
      <c r="A67" s="4">
        <v>45957.0</v>
      </c>
      <c r="B67" s="5" t="s">
        <v>17</v>
      </c>
      <c r="C67" s="6" t="s">
        <v>282</v>
      </c>
      <c r="D67" s="7">
        <f>24000-6175</f>
        <v>17825</v>
      </c>
      <c r="E67" s="5" t="s">
        <v>13</v>
      </c>
      <c r="F67" s="17">
        <f t="shared" si="1"/>
        <v>17825</v>
      </c>
      <c r="G67" s="8" t="s">
        <v>14</v>
      </c>
      <c r="H67" s="17"/>
    </row>
    <row r="68" ht="22.5" customHeight="1">
      <c r="A68" s="4">
        <v>45958.0</v>
      </c>
      <c r="B68" s="5" t="s">
        <v>17</v>
      </c>
      <c r="C68" s="6" t="s">
        <v>283</v>
      </c>
      <c r="D68" s="7">
        <v>1000.0</v>
      </c>
      <c r="E68" s="5" t="s">
        <v>13</v>
      </c>
      <c r="F68" s="17">
        <f t="shared" si="1"/>
        <v>1000</v>
      </c>
      <c r="G68" s="17"/>
      <c r="H68" s="17"/>
    </row>
    <row r="69" ht="22.5" customHeight="1">
      <c r="A69" s="4">
        <v>45958.0</v>
      </c>
      <c r="B69" s="5" t="s">
        <v>17</v>
      </c>
      <c r="C69" s="6" t="s">
        <v>284</v>
      </c>
      <c r="D69" s="7">
        <v>300.0</v>
      </c>
      <c r="E69" s="5" t="s">
        <v>13</v>
      </c>
      <c r="F69" s="17">
        <f t="shared" si="1"/>
        <v>300</v>
      </c>
      <c r="G69" s="17"/>
      <c r="H69" s="17"/>
    </row>
    <row r="70" ht="22.5" customHeight="1">
      <c r="A70" s="4">
        <v>45960.0</v>
      </c>
      <c r="B70" s="5" t="s">
        <v>22</v>
      </c>
      <c r="C70" s="6" t="s">
        <v>211</v>
      </c>
      <c r="D70" s="7">
        <v>-98.0</v>
      </c>
      <c r="E70" s="5" t="s">
        <v>13</v>
      </c>
      <c r="F70" s="17">
        <f t="shared" si="1"/>
        <v>-98</v>
      </c>
      <c r="G70" s="17"/>
      <c r="H70" s="17"/>
    </row>
    <row r="71" ht="22.5" customHeight="1">
      <c r="A71" s="4">
        <v>45960.0</v>
      </c>
      <c r="B71" s="5" t="s">
        <v>22</v>
      </c>
      <c r="C71" s="6" t="s">
        <v>211</v>
      </c>
      <c r="D71" s="7">
        <v>-492.0</v>
      </c>
      <c r="E71" s="5" t="s">
        <v>13</v>
      </c>
      <c r="F71" s="17">
        <f t="shared" si="1"/>
        <v>-492</v>
      </c>
      <c r="G71" s="17"/>
      <c r="H71" s="17"/>
    </row>
    <row r="72" ht="22.5" customHeight="1">
      <c r="A72" s="4">
        <v>45960.0</v>
      </c>
      <c r="B72" s="5" t="s">
        <v>22</v>
      </c>
      <c r="C72" s="6" t="s">
        <v>27</v>
      </c>
      <c r="D72" s="7">
        <v>-99.0</v>
      </c>
      <c r="E72" s="5" t="s">
        <v>13</v>
      </c>
      <c r="F72" s="17">
        <f t="shared" si="1"/>
        <v>-99</v>
      </c>
      <c r="G72" s="17"/>
      <c r="H72" s="17"/>
    </row>
    <row r="73" ht="22.5" customHeight="1">
      <c r="A73" s="4">
        <v>45961.0</v>
      </c>
      <c r="B73" s="5" t="s">
        <v>22</v>
      </c>
      <c r="C73" s="6" t="s">
        <v>211</v>
      </c>
      <c r="D73" s="7">
        <v>-28.0</v>
      </c>
      <c r="E73" s="5" t="s">
        <v>13</v>
      </c>
      <c r="F73" s="17">
        <f t="shared" si="1"/>
        <v>-28</v>
      </c>
      <c r="G73" s="17"/>
      <c r="H73" s="17"/>
    </row>
    <row r="74" ht="22.5" customHeight="1">
      <c r="A74" s="4">
        <v>45961.0</v>
      </c>
      <c r="B74" s="5" t="s">
        <v>22</v>
      </c>
      <c r="C74" s="6" t="s">
        <v>285</v>
      </c>
      <c r="D74" s="7">
        <v>-80.0</v>
      </c>
      <c r="E74" s="5" t="s">
        <v>13</v>
      </c>
      <c r="F74" s="17">
        <f t="shared" si="1"/>
        <v>-80</v>
      </c>
      <c r="G74" s="17"/>
      <c r="H74" s="17"/>
    </row>
    <row r="75" ht="22.5" customHeight="1">
      <c r="A75" s="10"/>
      <c r="B75" s="31"/>
      <c r="C75" s="15"/>
      <c r="D75" s="32"/>
      <c r="E75" s="31"/>
      <c r="F75" s="17">
        <f>SUM(July_4[TWD])</f>
        <v>-9228</v>
      </c>
      <c r="G75" s="26"/>
      <c r="H75" s="26"/>
    </row>
    <row r="76">
      <c r="A76" s="37"/>
      <c r="B76" s="38"/>
      <c r="C76" s="39"/>
      <c r="D76" s="40"/>
      <c r="E76" s="38"/>
      <c r="F76" s="42"/>
      <c r="G76" s="41"/>
      <c r="H76" s="41"/>
    </row>
    <row r="77">
      <c r="A77" s="37"/>
      <c r="B77" s="38"/>
      <c r="C77" s="39"/>
      <c r="D77" s="40"/>
      <c r="E77" s="38"/>
      <c r="F77" s="42"/>
      <c r="G77" s="41"/>
      <c r="H77" s="41"/>
    </row>
    <row r="78">
      <c r="A78" s="37"/>
      <c r="B78" s="38"/>
      <c r="C78" s="39"/>
      <c r="D78" s="40"/>
      <c r="E78" s="38"/>
      <c r="F78" s="42"/>
      <c r="G78" s="41"/>
      <c r="H78" s="41"/>
    </row>
    <row r="79">
      <c r="A79" s="37"/>
      <c r="B79" s="38"/>
      <c r="C79" s="39"/>
      <c r="D79" s="40"/>
      <c r="E79" s="38"/>
      <c r="F79" s="42"/>
      <c r="G79" s="41"/>
      <c r="H79" s="41"/>
    </row>
    <row r="80">
      <c r="A80" s="37"/>
      <c r="B80" s="38"/>
      <c r="C80" s="39"/>
      <c r="D80" s="40"/>
      <c r="E80" s="38"/>
      <c r="F80" s="42"/>
      <c r="G80" s="41"/>
      <c r="H80" s="41"/>
    </row>
    <row r="81">
      <c r="A81" s="37"/>
      <c r="B81" s="38"/>
      <c r="C81" s="39"/>
      <c r="D81" s="40"/>
      <c r="E81" s="38"/>
      <c r="F81" s="42"/>
      <c r="G81" s="41"/>
      <c r="H81" s="41"/>
    </row>
    <row r="82">
      <c r="A82" s="37"/>
      <c r="B82" s="38"/>
      <c r="C82" s="39"/>
      <c r="D82" s="40"/>
      <c r="E82" s="38"/>
      <c r="F82" s="42"/>
      <c r="G82" s="41"/>
      <c r="H82" s="41"/>
    </row>
    <row r="83">
      <c r="F83" s="42"/>
    </row>
    <row r="84">
      <c r="F84" s="42"/>
    </row>
    <row r="85">
      <c r="F85" s="42"/>
    </row>
    <row r="86">
      <c r="F86" s="42"/>
    </row>
    <row r="87">
      <c r="F87" s="42"/>
    </row>
    <row r="88">
      <c r="F88" s="42"/>
    </row>
    <row r="89">
      <c r="F89" s="42"/>
    </row>
    <row r="90">
      <c r="F90" s="42"/>
    </row>
    <row r="91">
      <c r="F91" s="42"/>
    </row>
    <row r="92">
      <c r="F92" s="42"/>
    </row>
    <row r="93">
      <c r="F93" s="42"/>
    </row>
    <row r="94">
      <c r="F94" s="42"/>
    </row>
    <row r="95">
      <c r="F95" s="42"/>
    </row>
    <row r="96">
      <c r="F96" s="42"/>
    </row>
    <row r="97">
      <c r="F97" s="42"/>
    </row>
    <row r="98">
      <c r="F98" s="42"/>
    </row>
    <row r="99">
      <c r="F99" s="42"/>
    </row>
    <row r="100">
      <c r="F100" s="42"/>
    </row>
    <row r="101">
      <c r="F101" s="42"/>
    </row>
    <row r="102">
      <c r="F102" s="42"/>
    </row>
    <row r="103">
      <c r="F103" s="42"/>
    </row>
    <row r="104">
      <c r="F104" s="42"/>
    </row>
    <row r="105">
      <c r="F105" s="42"/>
    </row>
    <row r="106">
      <c r="F106" s="42"/>
    </row>
    <row r="107">
      <c r="F107" s="42"/>
    </row>
    <row r="108">
      <c r="F108" s="42"/>
    </row>
    <row r="109">
      <c r="F109" s="42"/>
    </row>
    <row r="110">
      <c r="F110" s="42"/>
    </row>
    <row r="111">
      <c r="F111" s="42"/>
    </row>
    <row r="112">
      <c r="F112" s="42"/>
    </row>
    <row r="113">
      <c r="F113" s="42"/>
    </row>
    <row r="114">
      <c r="F114" s="42"/>
    </row>
    <row r="115">
      <c r="F115" s="42"/>
    </row>
    <row r="116">
      <c r="F116" s="42"/>
    </row>
    <row r="117">
      <c r="F117" s="42"/>
    </row>
    <row r="118">
      <c r="F118" s="42"/>
    </row>
    <row r="119">
      <c r="F119" s="42"/>
    </row>
    <row r="120">
      <c r="F120" s="42"/>
    </row>
    <row r="121">
      <c r="F121" s="42"/>
    </row>
    <row r="122">
      <c r="F122" s="42"/>
    </row>
    <row r="123">
      <c r="F123" s="42"/>
    </row>
    <row r="124">
      <c r="F124" s="42"/>
    </row>
    <row r="125">
      <c r="F125" s="42"/>
    </row>
    <row r="126">
      <c r="F126" s="42"/>
    </row>
    <row r="127">
      <c r="F127" s="42"/>
    </row>
    <row r="128">
      <c r="F128" s="42"/>
    </row>
    <row r="129">
      <c r="F129" s="42"/>
    </row>
    <row r="130">
      <c r="F130" s="42"/>
    </row>
    <row r="131">
      <c r="F131" s="42"/>
    </row>
    <row r="132">
      <c r="F132" s="42"/>
    </row>
    <row r="133">
      <c r="F133" s="42"/>
    </row>
    <row r="134">
      <c r="F134" s="42"/>
    </row>
    <row r="135">
      <c r="F135" s="42"/>
    </row>
    <row r="136">
      <c r="F136" s="42"/>
    </row>
    <row r="137">
      <c r="F137" s="42"/>
    </row>
    <row r="138">
      <c r="F138" s="42"/>
    </row>
    <row r="139">
      <c r="F139" s="42"/>
    </row>
    <row r="140">
      <c r="F140" s="42"/>
    </row>
    <row r="141">
      <c r="F141" s="42"/>
    </row>
    <row r="142">
      <c r="F142" s="42"/>
    </row>
    <row r="143">
      <c r="F143" s="42"/>
    </row>
    <row r="144">
      <c r="F144" s="42"/>
    </row>
    <row r="145">
      <c r="F145" s="42"/>
    </row>
    <row r="146">
      <c r="F146" s="42"/>
    </row>
    <row r="147">
      <c r="F147" s="42"/>
    </row>
    <row r="148">
      <c r="F148" s="42"/>
    </row>
    <row r="149">
      <c r="F149" s="42"/>
    </row>
    <row r="150">
      <c r="F150" s="42"/>
    </row>
  </sheetData>
  <dataValidations>
    <dataValidation type="list" allowBlank="1" sqref="B2:B74">
      <formula1>"Income,Trasportation,Accommdation,Others,Food,Entertainment "</formula1>
    </dataValidation>
    <dataValidation type="list" allowBlank="1" sqref="E2:E74">
      <formula1>"AUD,TWD,Yen"</formula1>
    </dataValidation>
    <dataValidation type="custom" allowBlank="1" showDropDown="1" sqref="A2:A74">
      <formula1>OR(NOT(ISERROR(DATEVALUE(A2))), AND(ISNUMBER(A2), LEFT(CELL("format", A2))="D"))</formula1>
    </dataValidation>
    <dataValidation type="custom" allowBlank="1" showDropDown="1" sqref="D2:D74">
      <formula1>AND(ISNUMBER(D2),(NOT(OR(NOT(ISERROR(DATEVALUE(D2))), AND(ISNUMBER(D2), LEFT(CELL("format", D2))="D")))))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7"/>
  </hyperlinks>
  <drawing r:id="rId66"/>
  <tableParts count="1">
    <tablePart r:id="rId6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13</v>
      </c>
      <c r="G1" s="2" t="s">
        <v>5</v>
      </c>
      <c r="H1" s="2" t="s">
        <v>118</v>
      </c>
    </row>
    <row r="2" ht="22.5" customHeight="1">
      <c r="A2" s="4">
        <v>45962.0</v>
      </c>
      <c r="B2" s="5" t="s">
        <v>11</v>
      </c>
      <c r="C2" s="6" t="s">
        <v>12</v>
      </c>
      <c r="D2" s="7">
        <v>28000.0</v>
      </c>
      <c r="E2" s="5" t="s">
        <v>13</v>
      </c>
      <c r="F2" s="17">
        <f t="shared" ref="F2:F95" si="1">D2*1</f>
        <v>28000</v>
      </c>
      <c r="G2" s="8" t="s">
        <v>14</v>
      </c>
      <c r="H2" s="17"/>
    </row>
    <row r="3" ht="22.5" customHeight="1">
      <c r="A3" s="4">
        <v>45962.0</v>
      </c>
      <c r="B3" s="5" t="s">
        <v>11</v>
      </c>
      <c r="C3" s="6" t="s">
        <v>15</v>
      </c>
      <c r="D3" s="7">
        <v>22000.0</v>
      </c>
      <c r="E3" s="5" t="s">
        <v>13</v>
      </c>
      <c r="F3" s="17">
        <f t="shared" si="1"/>
        <v>22000</v>
      </c>
      <c r="G3" s="8" t="s">
        <v>16</v>
      </c>
      <c r="H3" s="17"/>
    </row>
    <row r="4" ht="22.5" customHeight="1">
      <c r="A4" s="4">
        <v>45962.0</v>
      </c>
      <c r="B4" s="5" t="s">
        <v>58</v>
      </c>
      <c r="C4" s="6" t="s">
        <v>159</v>
      </c>
      <c r="D4" s="7">
        <v>-29305.0</v>
      </c>
      <c r="E4" s="5" t="s">
        <v>13</v>
      </c>
      <c r="F4" s="17">
        <f t="shared" si="1"/>
        <v>-29305</v>
      </c>
      <c r="G4" s="8" t="s">
        <v>14</v>
      </c>
      <c r="H4" s="17"/>
    </row>
    <row r="5" ht="22.5" customHeight="1">
      <c r="A5" s="4">
        <v>45962.0</v>
      </c>
      <c r="B5" s="5" t="s">
        <v>17</v>
      </c>
      <c r="C5" s="6" t="s">
        <v>20</v>
      </c>
      <c r="D5" s="7">
        <v>-660.0</v>
      </c>
      <c r="E5" s="5" t="s">
        <v>13</v>
      </c>
      <c r="F5" s="17">
        <f t="shared" si="1"/>
        <v>-660</v>
      </c>
      <c r="G5" s="8" t="s">
        <v>14</v>
      </c>
      <c r="H5" s="17"/>
    </row>
    <row r="6" ht="22.5" customHeight="1">
      <c r="A6" s="4">
        <v>45962.0</v>
      </c>
      <c r="B6" s="5" t="s">
        <v>17</v>
      </c>
      <c r="C6" s="6" t="s">
        <v>21</v>
      </c>
      <c r="D6" s="7">
        <v>-479.0</v>
      </c>
      <c r="E6" s="5" t="s">
        <v>13</v>
      </c>
      <c r="F6" s="17">
        <f t="shared" si="1"/>
        <v>-479</v>
      </c>
      <c r="G6" s="8" t="s">
        <v>14</v>
      </c>
      <c r="H6" s="17"/>
    </row>
    <row r="7" ht="22.5" customHeight="1">
      <c r="A7" s="4">
        <v>45962.0</v>
      </c>
      <c r="B7" s="5" t="s">
        <v>17</v>
      </c>
      <c r="C7" s="6" t="s">
        <v>260</v>
      </c>
      <c r="D7" s="7">
        <v>-3300.0</v>
      </c>
      <c r="E7" s="5" t="s">
        <v>13</v>
      </c>
      <c r="F7" s="17">
        <f t="shared" si="1"/>
        <v>-3300</v>
      </c>
      <c r="G7" s="8" t="s">
        <v>14</v>
      </c>
      <c r="H7" s="17"/>
    </row>
    <row r="8" ht="22.5" customHeight="1">
      <c r="A8" s="4">
        <v>45962.0</v>
      </c>
      <c r="B8" s="5" t="s">
        <v>22</v>
      </c>
      <c r="C8" s="6" t="s">
        <v>286</v>
      </c>
      <c r="D8" s="7">
        <v>-48.0</v>
      </c>
      <c r="E8" s="5" t="s">
        <v>13</v>
      </c>
      <c r="F8" s="17">
        <f t="shared" si="1"/>
        <v>-48</v>
      </c>
      <c r="G8" s="8" t="s">
        <v>14</v>
      </c>
      <c r="H8" s="17"/>
    </row>
    <row r="9" ht="22.5" customHeight="1">
      <c r="A9" s="4">
        <v>45962.0</v>
      </c>
      <c r="B9" s="5" t="s">
        <v>22</v>
      </c>
      <c r="C9" s="6" t="s">
        <v>286</v>
      </c>
      <c r="D9" s="7">
        <v>-65.0</v>
      </c>
      <c r="E9" s="5" t="s">
        <v>13</v>
      </c>
      <c r="F9" s="17">
        <f t="shared" si="1"/>
        <v>-65</v>
      </c>
      <c r="G9" s="8" t="s">
        <v>14</v>
      </c>
      <c r="H9" s="17"/>
    </row>
    <row r="10" ht="22.5" customHeight="1">
      <c r="A10" s="4">
        <v>45962.0</v>
      </c>
      <c r="B10" s="5" t="s">
        <v>30</v>
      </c>
      <c r="C10" s="6" t="s">
        <v>287</v>
      </c>
      <c r="D10" s="7">
        <v>-120.0</v>
      </c>
      <c r="E10" s="5" t="s">
        <v>13</v>
      </c>
      <c r="F10" s="17">
        <f t="shared" si="1"/>
        <v>-120</v>
      </c>
      <c r="G10" s="8" t="s">
        <v>14</v>
      </c>
      <c r="H10" s="17"/>
    </row>
    <row r="11" ht="22.5" customHeight="1">
      <c r="A11" s="4">
        <v>45962.0</v>
      </c>
      <c r="B11" s="5" t="s">
        <v>22</v>
      </c>
      <c r="C11" s="6" t="s">
        <v>288</v>
      </c>
      <c r="D11" s="7">
        <v>-345.0</v>
      </c>
      <c r="E11" s="5" t="s">
        <v>13</v>
      </c>
      <c r="F11" s="17">
        <f t="shared" si="1"/>
        <v>-345</v>
      </c>
      <c r="G11" s="8" t="s">
        <v>14</v>
      </c>
      <c r="H11" s="17"/>
    </row>
    <row r="12" ht="22.5" customHeight="1">
      <c r="A12" s="4">
        <v>45962.0</v>
      </c>
      <c r="B12" s="5" t="s">
        <v>22</v>
      </c>
      <c r="C12" s="6" t="s">
        <v>289</v>
      </c>
      <c r="D12" s="7">
        <v>-1120.0</v>
      </c>
      <c r="E12" s="5" t="s">
        <v>13</v>
      </c>
      <c r="F12" s="17">
        <f t="shared" si="1"/>
        <v>-1120</v>
      </c>
      <c r="G12" s="8" t="s">
        <v>14</v>
      </c>
      <c r="H12" s="17"/>
    </row>
    <row r="13" ht="22.5" customHeight="1">
      <c r="A13" s="4">
        <v>45963.0</v>
      </c>
      <c r="B13" s="5" t="s">
        <v>22</v>
      </c>
      <c r="C13" s="6" t="s">
        <v>37</v>
      </c>
      <c r="D13" s="7">
        <v>-200.0</v>
      </c>
      <c r="E13" s="5" t="s">
        <v>13</v>
      </c>
      <c r="F13" s="17">
        <f t="shared" si="1"/>
        <v>-200</v>
      </c>
      <c r="G13" s="8" t="s">
        <v>14</v>
      </c>
      <c r="H13" s="17"/>
    </row>
    <row r="14" ht="22.5" customHeight="1">
      <c r="A14" s="4">
        <v>45963.0</v>
      </c>
      <c r="B14" s="5" t="s">
        <v>22</v>
      </c>
      <c r="C14" s="6" t="s">
        <v>37</v>
      </c>
      <c r="D14" s="7">
        <v>-200.0</v>
      </c>
      <c r="E14" s="5" t="s">
        <v>13</v>
      </c>
      <c r="F14" s="17">
        <f t="shared" si="1"/>
        <v>-200</v>
      </c>
      <c r="G14" s="8" t="s">
        <v>14</v>
      </c>
      <c r="H14" s="17"/>
    </row>
    <row r="15" ht="22.5" customHeight="1">
      <c r="A15" s="4">
        <v>45964.0</v>
      </c>
      <c r="B15" s="5" t="s">
        <v>17</v>
      </c>
      <c r="C15" s="6" t="s">
        <v>290</v>
      </c>
      <c r="D15" s="7">
        <v>-1678.0</v>
      </c>
      <c r="E15" s="5" t="s">
        <v>13</v>
      </c>
      <c r="F15" s="17">
        <f t="shared" si="1"/>
        <v>-1678</v>
      </c>
      <c r="G15" s="8" t="s">
        <v>16</v>
      </c>
      <c r="H15" s="17"/>
    </row>
    <row r="16" ht="22.5" customHeight="1">
      <c r="A16" s="4">
        <v>45964.0</v>
      </c>
      <c r="B16" s="5" t="s">
        <v>22</v>
      </c>
      <c r="C16" s="6" t="s">
        <v>291</v>
      </c>
      <c r="D16" s="7">
        <v>-1331.0</v>
      </c>
      <c r="E16" s="5" t="s">
        <v>13</v>
      </c>
      <c r="F16" s="17">
        <f t="shared" si="1"/>
        <v>-1331</v>
      </c>
      <c r="G16" s="8" t="s">
        <v>14</v>
      </c>
      <c r="H16" s="17"/>
    </row>
    <row r="17" ht="22.5" customHeight="1">
      <c r="A17" s="4">
        <v>45964.0</v>
      </c>
      <c r="B17" s="5" t="s">
        <v>22</v>
      </c>
      <c r="C17" s="6" t="s">
        <v>211</v>
      </c>
      <c r="D17" s="7">
        <v>-78.0</v>
      </c>
      <c r="E17" s="5" t="s">
        <v>13</v>
      </c>
      <c r="F17" s="17">
        <f t="shared" si="1"/>
        <v>-78</v>
      </c>
      <c r="G17" s="8" t="s">
        <v>14</v>
      </c>
      <c r="H17" s="17"/>
    </row>
    <row r="18" ht="22.5" customHeight="1">
      <c r="A18" s="4">
        <v>45965.0</v>
      </c>
      <c r="B18" s="5" t="s">
        <v>17</v>
      </c>
      <c r="C18" s="6" t="s">
        <v>133</v>
      </c>
      <c r="D18" s="7">
        <v>-1395.0</v>
      </c>
      <c r="E18" s="5" t="s">
        <v>13</v>
      </c>
      <c r="F18" s="17">
        <f t="shared" si="1"/>
        <v>-1395</v>
      </c>
      <c r="G18" s="8" t="s">
        <v>16</v>
      </c>
      <c r="H18" s="17"/>
    </row>
    <row r="19" ht="22.5" customHeight="1">
      <c r="A19" s="4">
        <v>45965.0</v>
      </c>
      <c r="B19" s="5" t="s">
        <v>22</v>
      </c>
      <c r="C19" s="6" t="s">
        <v>292</v>
      </c>
      <c r="D19" s="7">
        <v>-1360.0</v>
      </c>
      <c r="E19" s="5" t="s">
        <v>13</v>
      </c>
      <c r="F19" s="17">
        <f t="shared" si="1"/>
        <v>-1360</v>
      </c>
      <c r="G19" s="8" t="s">
        <v>16</v>
      </c>
      <c r="H19" s="17"/>
    </row>
    <row r="20" ht="22.5" customHeight="1">
      <c r="A20" s="4">
        <v>45965.0</v>
      </c>
      <c r="B20" s="5" t="s">
        <v>17</v>
      </c>
      <c r="C20" s="6" t="s">
        <v>34</v>
      </c>
      <c r="D20" s="7">
        <v>-151.0</v>
      </c>
      <c r="E20" s="5" t="s">
        <v>13</v>
      </c>
      <c r="F20" s="17">
        <f t="shared" si="1"/>
        <v>-151</v>
      </c>
      <c r="G20" s="8" t="s">
        <v>16</v>
      </c>
      <c r="H20" s="17"/>
    </row>
    <row r="21" ht="22.5" customHeight="1">
      <c r="A21" s="4">
        <v>45966.0</v>
      </c>
      <c r="B21" s="5" t="s">
        <v>22</v>
      </c>
      <c r="C21" s="6" t="s">
        <v>211</v>
      </c>
      <c r="D21" s="7">
        <v>-48.0</v>
      </c>
      <c r="E21" s="5" t="s">
        <v>13</v>
      </c>
      <c r="F21" s="17">
        <f t="shared" si="1"/>
        <v>-48</v>
      </c>
      <c r="G21" s="8" t="s">
        <v>14</v>
      </c>
      <c r="H21" s="17"/>
    </row>
    <row r="22" ht="22.5" customHeight="1">
      <c r="A22" s="4">
        <v>45967.0</v>
      </c>
      <c r="B22" s="5" t="s">
        <v>22</v>
      </c>
      <c r="C22" s="27">
        <v>45849.0</v>
      </c>
      <c r="D22" s="7">
        <v>-65.0</v>
      </c>
      <c r="E22" s="5" t="s">
        <v>13</v>
      </c>
      <c r="F22" s="17">
        <f t="shared" si="1"/>
        <v>-65</v>
      </c>
      <c r="G22" s="8" t="s">
        <v>14</v>
      </c>
      <c r="H22" s="17"/>
    </row>
    <row r="23" ht="22.5" customHeight="1">
      <c r="A23" s="4">
        <v>45967.0</v>
      </c>
      <c r="B23" s="5" t="s">
        <v>22</v>
      </c>
      <c r="C23" s="6" t="s">
        <v>27</v>
      </c>
      <c r="D23" s="7">
        <v>-293.0</v>
      </c>
      <c r="E23" s="5" t="s">
        <v>13</v>
      </c>
      <c r="F23" s="17">
        <f t="shared" si="1"/>
        <v>-293</v>
      </c>
      <c r="G23" s="8" t="s">
        <v>14</v>
      </c>
      <c r="H23" s="17"/>
    </row>
    <row r="24" ht="22.5" customHeight="1">
      <c r="A24" s="4">
        <v>45967.0</v>
      </c>
      <c r="B24" s="5" t="s">
        <v>22</v>
      </c>
      <c r="C24" s="6" t="s">
        <v>66</v>
      </c>
      <c r="D24" s="7">
        <v>-100.0</v>
      </c>
      <c r="E24" s="5" t="s">
        <v>13</v>
      </c>
      <c r="F24" s="17">
        <f t="shared" si="1"/>
        <v>-100</v>
      </c>
      <c r="G24" s="8" t="s">
        <v>14</v>
      </c>
      <c r="H24" s="17"/>
    </row>
    <row r="25" ht="22.5" customHeight="1">
      <c r="A25" s="4">
        <v>45969.0</v>
      </c>
      <c r="B25" s="5" t="s">
        <v>22</v>
      </c>
      <c r="C25" s="6" t="s">
        <v>164</v>
      </c>
      <c r="D25" s="7">
        <v>-65.0</v>
      </c>
      <c r="E25" s="5" t="s">
        <v>13</v>
      </c>
      <c r="F25" s="17">
        <f t="shared" si="1"/>
        <v>-65</v>
      </c>
      <c r="G25" s="8" t="s">
        <v>14</v>
      </c>
      <c r="H25" s="17"/>
    </row>
    <row r="26" ht="22.5" customHeight="1">
      <c r="A26" s="4">
        <v>45969.0</v>
      </c>
      <c r="B26" s="5" t="s">
        <v>22</v>
      </c>
      <c r="C26" s="6" t="s">
        <v>293</v>
      </c>
      <c r="D26" s="7">
        <v>-2420.0</v>
      </c>
      <c r="E26" s="5" t="s">
        <v>13</v>
      </c>
      <c r="F26" s="17">
        <f t="shared" si="1"/>
        <v>-2420</v>
      </c>
      <c r="G26" s="8" t="s">
        <v>14</v>
      </c>
      <c r="H26" s="17"/>
    </row>
    <row r="27" ht="22.5" customHeight="1">
      <c r="A27" s="4">
        <v>45969.0</v>
      </c>
      <c r="B27" s="5" t="s">
        <v>22</v>
      </c>
      <c r="C27" s="6" t="s">
        <v>249</v>
      </c>
      <c r="D27" s="7">
        <v>-315.0</v>
      </c>
      <c r="E27" s="5" t="s">
        <v>13</v>
      </c>
      <c r="F27" s="17">
        <f t="shared" si="1"/>
        <v>-315</v>
      </c>
      <c r="G27" s="8" t="s">
        <v>14</v>
      </c>
      <c r="H27" s="17"/>
    </row>
    <row r="28" ht="22.5" customHeight="1">
      <c r="A28" s="4">
        <v>45969.0</v>
      </c>
      <c r="B28" s="5" t="s">
        <v>22</v>
      </c>
      <c r="C28" s="6" t="s">
        <v>211</v>
      </c>
      <c r="D28" s="7">
        <v>-30.0</v>
      </c>
      <c r="E28" s="5" t="s">
        <v>13</v>
      </c>
      <c r="F28" s="17">
        <f t="shared" si="1"/>
        <v>-30</v>
      </c>
      <c r="G28" s="8" t="s">
        <v>14</v>
      </c>
      <c r="H28" s="17"/>
    </row>
    <row r="29" ht="22.5" customHeight="1">
      <c r="A29" s="4">
        <v>45969.0</v>
      </c>
      <c r="B29" s="5" t="s">
        <v>22</v>
      </c>
      <c r="C29" s="6" t="s">
        <v>294</v>
      </c>
      <c r="D29" s="7">
        <v>-42.0</v>
      </c>
      <c r="E29" s="5" t="s">
        <v>13</v>
      </c>
      <c r="F29" s="17">
        <f t="shared" si="1"/>
        <v>-42</v>
      </c>
      <c r="G29" s="8" t="s">
        <v>14</v>
      </c>
      <c r="H29" s="17"/>
    </row>
    <row r="30" ht="22.5" customHeight="1">
      <c r="A30" s="4">
        <v>45971.0</v>
      </c>
      <c r="B30" s="5" t="s">
        <v>22</v>
      </c>
      <c r="C30" s="6" t="s">
        <v>27</v>
      </c>
      <c r="D30" s="7">
        <v>-380.0</v>
      </c>
      <c r="E30" s="5" t="s">
        <v>13</v>
      </c>
      <c r="F30" s="17">
        <f t="shared" si="1"/>
        <v>-380</v>
      </c>
      <c r="G30" s="8" t="s">
        <v>14</v>
      </c>
      <c r="H30" s="17"/>
    </row>
    <row r="31" ht="22.5" customHeight="1">
      <c r="A31" s="4">
        <v>45972.0</v>
      </c>
      <c r="B31" s="5" t="s">
        <v>30</v>
      </c>
      <c r="C31" s="6" t="s">
        <v>31</v>
      </c>
      <c r="D31" s="7">
        <v>-20.0</v>
      </c>
      <c r="E31" s="5" t="s">
        <v>13</v>
      </c>
      <c r="F31" s="17">
        <f t="shared" si="1"/>
        <v>-20</v>
      </c>
      <c r="G31" s="8" t="s">
        <v>16</v>
      </c>
      <c r="H31" s="17"/>
    </row>
    <row r="32" ht="22.5" customHeight="1">
      <c r="A32" s="4">
        <v>45974.0</v>
      </c>
      <c r="B32" s="5" t="s">
        <v>22</v>
      </c>
      <c r="C32" s="6" t="s">
        <v>27</v>
      </c>
      <c r="D32" s="7">
        <v>-476.0</v>
      </c>
      <c r="E32" s="5" t="s">
        <v>13</v>
      </c>
      <c r="F32" s="17">
        <f t="shared" si="1"/>
        <v>-476</v>
      </c>
      <c r="G32" s="8" t="s">
        <v>14</v>
      </c>
      <c r="H32" s="17"/>
    </row>
    <row r="33" ht="22.5" customHeight="1">
      <c r="A33" s="4">
        <v>45975.0</v>
      </c>
      <c r="B33" s="5" t="s">
        <v>22</v>
      </c>
      <c r="C33" s="6" t="s">
        <v>166</v>
      </c>
      <c r="D33" s="7">
        <v>-22.0</v>
      </c>
      <c r="E33" s="5" t="s">
        <v>13</v>
      </c>
      <c r="F33" s="17">
        <f t="shared" si="1"/>
        <v>-22</v>
      </c>
      <c r="G33" s="8" t="s">
        <v>14</v>
      </c>
      <c r="H33" s="17"/>
    </row>
    <row r="34" ht="22.5" customHeight="1">
      <c r="A34" s="4">
        <v>45975.0</v>
      </c>
      <c r="B34" s="5" t="s">
        <v>22</v>
      </c>
      <c r="C34" s="6" t="s">
        <v>295</v>
      </c>
      <c r="D34" s="7">
        <v>-110.0</v>
      </c>
      <c r="E34" s="5" t="s">
        <v>13</v>
      </c>
      <c r="F34" s="17">
        <f t="shared" si="1"/>
        <v>-110</v>
      </c>
      <c r="G34" s="8" t="s">
        <v>14</v>
      </c>
      <c r="H34" s="17"/>
    </row>
    <row r="35" ht="22.5" customHeight="1">
      <c r="A35" s="4">
        <v>45975.0</v>
      </c>
      <c r="B35" s="5" t="s">
        <v>22</v>
      </c>
      <c r="C35" s="6" t="s">
        <v>40</v>
      </c>
      <c r="D35" s="7">
        <v>-305.0</v>
      </c>
      <c r="E35" s="5" t="s">
        <v>13</v>
      </c>
      <c r="F35" s="17">
        <f t="shared" si="1"/>
        <v>-305</v>
      </c>
      <c r="G35" s="8" t="s">
        <v>14</v>
      </c>
      <c r="H35" s="17"/>
    </row>
    <row r="36" ht="22.5" customHeight="1">
      <c r="A36" s="4">
        <v>45976.0</v>
      </c>
      <c r="B36" s="5" t="s">
        <v>17</v>
      </c>
      <c r="C36" s="6" t="s">
        <v>296</v>
      </c>
      <c r="D36" s="7">
        <v>-200.0</v>
      </c>
      <c r="E36" s="5" t="s">
        <v>13</v>
      </c>
      <c r="F36" s="17">
        <f t="shared" si="1"/>
        <v>-200</v>
      </c>
      <c r="G36" s="8" t="s">
        <v>14</v>
      </c>
      <c r="H36" s="17"/>
    </row>
    <row r="37" ht="22.5" customHeight="1">
      <c r="A37" s="4">
        <v>45976.0</v>
      </c>
      <c r="B37" s="5" t="s">
        <v>22</v>
      </c>
      <c r="C37" s="6" t="s">
        <v>156</v>
      </c>
      <c r="D37" s="7">
        <v>-620.0</v>
      </c>
      <c r="E37" s="5" t="s">
        <v>13</v>
      </c>
      <c r="F37" s="17">
        <f t="shared" si="1"/>
        <v>-620</v>
      </c>
      <c r="G37" s="8" t="s">
        <v>14</v>
      </c>
      <c r="H37" s="17"/>
    </row>
    <row r="38" ht="22.5" customHeight="1">
      <c r="A38" s="4">
        <v>45976.0</v>
      </c>
      <c r="B38" s="5" t="s">
        <v>22</v>
      </c>
      <c r="C38" s="6" t="s">
        <v>211</v>
      </c>
      <c r="D38" s="7">
        <v>-95.0</v>
      </c>
      <c r="E38" s="5" t="s">
        <v>13</v>
      </c>
      <c r="F38" s="17">
        <f t="shared" si="1"/>
        <v>-95</v>
      </c>
      <c r="G38" s="8" t="s">
        <v>14</v>
      </c>
      <c r="H38" s="17"/>
    </row>
    <row r="39" ht="22.5" customHeight="1">
      <c r="A39" s="4">
        <v>45976.0</v>
      </c>
      <c r="B39" s="5" t="s">
        <v>22</v>
      </c>
      <c r="C39" s="6" t="s">
        <v>297</v>
      </c>
      <c r="D39" s="7">
        <v>-285.0</v>
      </c>
      <c r="E39" s="5" t="s">
        <v>13</v>
      </c>
      <c r="F39" s="17">
        <f t="shared" si="1"/>
        <v>-285</v>
      </c>
      <c r="G39" s="8" t="s">
        <v>14</v>
      </c>
      <c r="H39" s="17"/>
    </row>
    <row r="40" ht="22.5" customHeight="1">
      <c r="A40" s="4">
        <v>45976.0</v>
      </c>
      <c r="B40" s="5" t="s">
        <v>22</v>
      </c>
      <c r="C40" s="6" t="s">
        <v>298</v>
      </c>
      <c r="D40" s="7">
        <v>-160.0</v>
      </c>
      <c r="E40" s="5" t="s">
        <v>13</v>
      </c>
      <c r="F40" s="17">
        <f t="shared" si="1"/>
        <v>-160</v>
      </c>
      <c r="G40" s="8" t="s">
        <v>14</v>
      </c>
      <c r="H40" s="17"/>
    </row>
    <row r="41" ht="22.5" customHeight="1">
      <c r="A41" s="4">
        <v>45976.0</v>
      </c>
      <c r="B41" s="5" t="s">
        <v>30</v>
      </c>
      <c r="C41" s="6" t="s">
        <v>31</v>
      </c>
      <c r="D41" s="7">
        <v>-75.0</v>
      </c>
      <c r="E41" s="5" t="s">
        <v>13</v>
      </c>
      <c r="F41" s="17">
        <f t="shared" si="1"/>
        <v>-75</v>
      </c>
      <c r="G41" s="8" t="s">
        <v>14</v>
      </c>
      <c r="H41" s="17"/>
    </row>
    <row r="42" ht="22.5" customHeight="1">
      <c r="A42" s="4">
        <v>45977.0</v>
      </c>
      <c r="B42" s="5" t="s">
        <v>22</v>
      </c>
      <c r="C42" s="6" t="s">
        <v>27</v>
      </c>
      <c r="D42" s="7">
        <v>-747.0</v>
      </c>
      <c r="E42" s="5" t="s">
        <v>13</v>
      </c>
      <c r="F42" s="17">
        <f t="shared" si="1"/>
        <v>-747</v>
      </c>
      <c r="G42" s="8" t="s">
        <v>14</v>
      </c>
      <c r="H42" s="17"/>
    </row>
    <row r="43" ht="22.5" customHeight="1">
      <c r="A43" s="4">
        <v>45977.0</v>
      </c>
      <c r="B43" s="5" t="s">
        <v>22</v>
      </c>
      <c r="C43" s="6" t="s">
        <v>211</v>
      </c>
      <c r="D43" s="7">
        <v>-44.0</v>
      </c>
      <c r="E43" s="5" t="s">
        <v>13</v>
      </c>
      <c r="F43" s="17">
        <f t="shared" si="1"/>
        <v>-44</v>
      </c>
      <c r="G43" s="8" t="s">
        <v>14</v>
      </c>
      <c r="H43" s="17"/>
    </row>
    <row r="44" ht="22.5" customHeight="1">
      <c r="A44" s="4">
        <v>45978.0</v>
      </c>
      <c r="B44" s="5" t="s">
        <v>22</v>
      </c>
      <c r="C44" s="6" t="s">
        <v>27</v>
      </c>
      <c r="D44" s="7">
        <v>-384.0</v>
      </c>
      <c r="E44" s="5" t="s">
        <v>13</v>
      </c>
      <c r="F44" s="17">
        <f t="shared" si="1"/>
        <v>-384</v>
      </c>
      <c r="G44" s="8" t="s">
        <v>14</v>
      </c>
      <c r="H44" s="17"/>
    </row>
    <row r="45" ht="22.5" customHeight="1">
      <c r="A45" s="4">
        <v>45978.0</v>
      </c>
      <c r="B45" s="5" t="s">
        <v>22</v>
      </c>
      <c r="C45" s="6" t="s">
        <v>211</v>
      </c>
      <c r="D45" s="7">
        <v>-39.0</v>
      </c>
      <c r="E45" s="5" t="s">
        <v>13</v>
      </c>
      <c r="F45" s="17">
        <f t="shared" si="1"/>
        <v>-39</v>
      </c>
      <c r="G45" s="8" t="s">
        <v>14</v>
      </c>
      <c r="H45" s="17"/>
    </row>
    <row r="46" ht="22.5" customHeight="1">
      <c r="A46" s="4">
        <v>45978.0</v>
      </c>
      <c r="B46" s="5" t="s">
        <v>22</v>
      </c>
      <c r="C46" s="6" t="s">
        <v>27</v>
      </c>
      <c r="D46" s="7">
        <v>-174.0</v>
      </c>
      <c r="E46" s="5" t="s">
        <v>13</v>
      </c>
      <c r="F46" s="17">
        <f t="shared" si="1"/>
        <v>-174</v>
      </c>
      <c r="G46" s="8" t="s">
        <v>14</v>
      </c>
      <c r="H46" s="17"/>
    </row>
    <row r="47" ht="22.5" customHeight="1">
      <c r="A47" s="4">
        <v>45978.0</v>
      </c>
      <c r="B47" s="5" t="s">
        <v>17</v>
      </c>
      <c r="C47" s="6" t="s">
        <v>299</v>
      </c>
      <c r="D47" s="7">
        <v>-450.0</v>
      </c>
      <c r="E47" s="5" t="s">
        <v>13</v>
      </c>
      <c r="F47" s="17">
        <f t="shared" si="1"/>
        <v>-450</v>
      </c>
      <c r="G47" s="8" t="s">
        <v>14</v>
      </c>
      <c r="H47" s="17"/>
    </row>
    <row r="48" ht="22.5" customHeight="1">
      <c r="A48" s="4">
        <v>45981.0</v>
      </c>
      <c r="B48" s="5" t="s">
        <v>22</v>
      </c>
      <c r="C48" s="6" t="s">
        <v>27</v>
      </c>
      <c r="D48" s="7">
        <v>-266.0</v>
      </c>
      <c r="E48" s="5" t="s">
        <v>13</v>
      </c>
      <c r="F48" s="17">
        <f t="shared" si="1"/>
        <v>-266</v>
      </c>
      <c r="G48" s="8" t="s">
        <v>14</v>
      </c>
      <c r="H48" s="17"/>
    </row>
    <row r="49" ht="22.5" customHeight="1">
      <c r="A49" s="4">
        <v>45981.0</v>
      </c>
      <c r="B49" s="5" t="s">
        <v>22</v>
      </c>
      <c r="C49" s="6" t="s">
        <v>211</v>
      </c>
      <c r="D49" s="7">
        <v>-49.0</v>
      </c>
      <c r="E49" s="5" t="s">
        <v>13</v>
      </c>
      <c r="F49" s="17">
        <f t="shared" si="1"/>
        <v>-49</v>
      </c>
      <c r="G49" s="8" t="s">
        <v>14</v>
      </c>
      <c r="H49" s="17"/>
    </row>
    <row r="50" ht="22.5" customHeight="1">
      <c r="A50" s="4">
        <v>45982.0</v>
      </c>
      <c r="B50" s="5" t="s">
        <v>17</v>
      </c>
      <c r="C50" s="6" t="s">
        <v>296</v>
      </c>
      <c r="D50" s="7">
        <v>-200.0</v>
      </c>
      <c r="E50" s="5" t="s">
        <v>13</v>
      </c>
      <c r="F50" s="17">
        <f t="shared" si="1"/>
        <v>-200</v>
      </c>
      <c r="G50" s="8" t="s">
        <v>14</v>
      </c>
      <c r="H50" s="17"/>
    </row>
    <row r="51" ht="22.5" customHeight="1">
      <c r="A51" s="4">
        <v>45983.0</v>
      </c>
      <c r="B51" s="5" t="s">
        <v>30</v>
      </c>
      <c r="C51" s="6" t="s">
        <v>31</v>
      </c>
      <c r="D51" s="7">
        <v>-45.0</v>
      </c>
      <c r="E51" s="5" t="s">
        <v>13</v>
      </c>
      <c r="F51" s="17">
        <f t="shared" si="1"/>
        <v>-45</v>
      </c>
      <c r="G51" s="8" t="s">
        <v>14</v>
      </c>
      <c r="H51" s="17"/>
    </row>
    <row r="52" ht="22.5" customHeight="1">
      <c r="A52" s="4">
        <v>45983.0</v>
      </c>
      <c r="B52" s="5" t="s">
        <v>22</v>
      </c>
      <c r="C52" s="6" t="s">
        <v>29</v>
      </c>
      <c r="D52" s="7">
        <v>-4230.0</v>
      </c>
      <c r="E52" s="5" t="s">
        <v>13</v>
      </c>
      <c r="F52" s="17">
        <f t="shared" si="1"/>
        <v>-4230</v>
      </c>
      <c r="G52" s="8" t="s">
        <v>16</v>
      </c>
      <c r="H52" s="17"/>
    </row>
    <row r="53" ht="22.5" customHeight="1">
      <c r="A53" s="4">
        <v>45983.0</v>
      </c>
      <c r="B53" s="5" t="s">
        <v>22</v>
      </c>
      <c r="C53" s="6" t="s">
        <v>300</v>
      </c>
      <c r="D53" s="7">
        <v>-99.0</v>
      </c>
      <c r="E53" s="5" t="s">
        <v>13</v>
      </c>
      <c r="F53" s="17">
        <f t="shared" si="1"/>
        <v>-99</v>
      </c>
      <c r="G53" s="8" t="s">
        <v>14</v>
      </c>
      <c r="H53" s="17"/>
    </row>
    <row r="54" ht="22.5" customHeight="1">
      <c r="A54" s="4">
        <v>45983.0</v>
      </c>
      <c r="B54" s="5" t="s">
        <v>30</v>
      </c>
      <c r="C54" s="6" t="s">
        <v>31</v>
      </c>
      <c r="D54" s="7">
        <v>-50.0</v>
      </c>
      <c r="E54" s="5" t="s">
        <v>13</v>
      </c>
      <c r="F54" s="17">
        <f t="shared" si="1"/>
        <v>-50</v>
      </c>
      <c r="G54" s="8" t="s">
        <v>14</v>
      </c>
      <c r="H54" s="17"/>
    </row>
    <row r="55" ht="22.5" customHeight="1">
      <c r="A55" s="4">
        <v>45983.0</v>
      </c>
      <c r="B55" s="5" t="s">
        <v>50</v>
      </c>
      <c r="C55" s="6" t="s">
        <v>301</v>
      </c>
      <c r="D55" s="7">
        <v>-100.0</v>
      </c>
      <c r="E55" s="5" t="s">
        <v>13</v>
      </c>
      <c r="F55" s="17">
        <f t="shared" si="1"/>
        <v>-100</v>
      </c>
      <c r="G55" s="8" t="s">
        <v>14</v>
      </c>
      <c r="H55" s="17"/>
    </row>
    <row r="56" ht="22.5" customHeight="1">
      <c r="A56" s="4">
        <v>45983.0</v>
      </c>
      <c r="B56" s="5" t="s">
        <v>22</v>
      </c>
      <c r="C56" s="6" t="s">
        <v>266</v>
      </c>
      <c r="D56" s="7">
        <v>-260.0</v>
      </c>
      <c r="E56" s="5" t="s">
        <v>13</v>
      </c>
      <c r="F56" s="17">
        <f t="shared" si="1"/>
        <v>-260</v>
      </c>
      <c r="G56" s="8" t="s">
        <v>14</v>
      </c>
      <c r="H56" s="17"/>
    </row>
    <row r="57" ht="22.5" customHeight="1">
      <c r="A57" s="4">
        <v>45983.0</v>
      </c>
      <c r="B57" s="5" t="s">
        <v>22</v>
      </c>
      <c r="C57" s="6" t="s">
        <v>302</v>
      </c>
      <c r="D57" s="7">
        <v>-260.0</v>
      </c>
      <c r="E57" s="5" t="s">
        <v>13</v>
      </c>
      <c r="F57" s="17">
        <f t="shared" si="1"/>
        <v>-260</v>
      </c>
      <c r="G57" s="8" t="s">
        <v>14</v>
      </c>
      <c r="H57" s="17"/>
    </row>
    <row r="58" ht="22.5" customHeight="1">
      <c r="A58" s="4">
        <v>45983.0</v>
      </c>
      <c r="B58" s="5" t="s">
        <v>22</v>
      </c>
      <c r="C58" s="6" t="s">
        <v>303</v>
      </c>
      <c r="D58" s="7">
        <v>-80.0</v>
      </c>
      <c r="E58" s="5" t="s">
        <v>13</v>
      </c>
      <c r="F58" s="17">
        <f t="shared" si="1"/>
        <v>-80</v>
      </c>
      <c r="G58" s="8" t="s">
        <v>14</v>
      </c>
      <c r="H58" s="17"/>
    </row>
    <row r="59" ht="22.5" customHeight="1">
      <c r="A59" s="4">
        <v>45986.0</v>
      </c>
      <c r="B59" s="5" t="s">
        <v>17</v>
      </c>
      <c r="C59" s="6" t="s">
        <v>304</v>
      </c>
      <c r="D59" s="7">
        <v>-14041.0</v>
      </c>
      <c r="E59" s="5" t="s">
        <v>13</v>
      </c>
      <c r="F59" s="17">
        <f t="shared" si="1"/>
        <v>-14041</v>
      </c>
      <c r="G59" s="8" t="s">
        <v>14</v>
      </c>
      <c r="H59" s="17"/>
    </row>
    <row r="60" ht="22.5" customHeight="1">
      <c r="A60" s="4">
        <v>45990.0</v>
      </c>
      <c r="B60" s="5" t="s">
        <v>22</v>
      </c>
      <c r="C60" s="6" t="s">
        <v>249</v>
      </c>
      <c r="D60" s="7">
        <v>-649.0</v>
      </c>
      <c r="E60" s="5" t="s">
        <v>13</v>
      </c>
      <c r="F60" s="17">
        <f t="shared" si="1"/>
        <v>-649</v>
      </c>
      <c r="G60" s="8" t="s">
        <v>14</v>
      </c>
      <c r="H60" s="17"/>
    </row>
    <row r="61" ht="22.5" customHeight="1">
      <c r="A61" s="4">
        <v>45991.0</v>
      </c>
      <c r="B61" s="5" t="s">
        <v>22</v>
      </c>
      <c r="C61" s="6" t="s">
        <v>27</v>
      </c>
      <c r="D61" s="7">
        <v>-308.0</v>
      </c>
      <c r="E61" s="5" t="s">
        <v>13</v>
      </c>
      <c r="F61" s="17">
        <f t="shared" si="1"/>
        <v>-308</v>
      </c>
      <c r="G61" s="8" t="s">
        <v>14</v>
      </c>
      <c r="H61" s="17"/>
    </row>
    <row r="62" ht="22.5" customHeight="1">
      <c r="A62" s="4">
        <v>45991.0</v>
      </c>
      <c r="B62" s="5" t="s">
        <v>22</v>
      </c>
      <c r="C62" s="6" t="s">
        <v>27</v>
      </c>
      <c r="D62" s="7">
        <v>-387.0</v>
      </c>
      <c r="E62" s="5" t="s">
        <v>13</v>
      </c>
      <c r="F62" s="17">
        <f t="shared" si="1"/>
        <v>-387</v>
      </c>
      <c r="G62" s="8" t="s">
        <v>14</v>
      </c>
      <c r="H62" s="17"/>
    </row>
    <row r="63" ht="22.5" customHeight="1">
      <c r="A63" s="4">
        <v>45991.0</v>
      </c>
      <c r="B63" s="5" t="s">
        <v>22</v>
      </c>
      <c r="C63" s="6" t="s">
        <v>272</v>
      </c>
      <c r="D63" s="7">
        <v>-200.0</v>
      </c>
      <c r="E63" s="5" t="s">
        <v>13</v>
      </c>
      <c r="F63" s="17">
        <f t="shared" si="1"/>
        <v>-200</v>
      </c>
      <c r="G63" s="8" t="s">
        <v>14</v>
      </c>
      <c r="H63" s="17"/>
    </row>
    <row r="64" ht="22.5" customHeight="1">
      <c r="A64" s="43"/>
      <c r="B64" s="44"/>
      <c r="D64" s="45"/>
      <c r="E64" s="5" t="s">
        <v>13</v>
      </c>
      <c r="F64" s="17">
        <f t="shared" si="1"/>
        <v>0</v>
      </c>
      <c r="G64" s="8" t="s">
        <v>14</v>
      </c>
      <c r="H64" s="17"/>
    </row>
    <row r="65" ht="22.5" customHeight="1">
      <c r="A65" s="43"/>
      <c r="B65" s="44"/>
      <c r="D65" s="45"/>
      <c r="E65" s="5" t="s">
        <v>13</v>
      </c>
      <c r="F65" s="17">
        <f t="shared" si="1"/>
        <v>0</v>
      </c>
      <c r="G65" s="8" t="s">
        <v>14</v>
      </c>
      <c r="H65" s="17"/>
    </row>
    <row r="66" ht="22.5" customHeight="1">
      <c r="A66" s="43"/>
      <c r="B66" s="44"/>
      <c r="D66" s="45"/>
      <c r="E66" s="5" t="s">
        <v>13</v>
      </c>
      <c r="F66" s="17">
        <f t="shared" si="1"/>
        <v>0</v>
      </c>
      <c r="G66" s="8" t="s">
        <v>14</v>
      </c>
      <c r="H66" s="17"/>
    </row>
    <row r="67" ht="22.5" customHeight="1">
      <c r="A67" s="43"/>
      <c r="B67" s="44"/>
      <c r="D67" s="45"/>
      <c r="E67" s="5" t="s">
        <v>13</v>
      </c>
      <c r="F67" s="17">
        <f t="shared" si="1"/>
        <v>0</v>
      </c>
      <c r="G67" s="8" t="s">
        <v>14</v>
      </c>
      <c r="H67" s="17"/>
    </row>
    <row r="68" ht="22.5" customHeight="1">
      <c r="A68" s="43"/>
      <c r="B68" s="44"/>
      <c r="D68" s="45"/>
      <c r="E68" s="5" t="s">
        <v>13</v>
      </c>
      <c r="F68" s="17">
        <f t="shared" si="1"/>
        <v>0</v>
      </c>
      <c r="G68" s="8" t="s">
        <v>14</v>
      </c>
      <c r="H68" s="17"/>
    </row>
    <row r="69" ht="22.5" customHeight="1">
      <c r="A69" s="43"/>
      <c r="B69" s="44"/>
      <c r="D69" s="45"/>
      <c r="E69" s="5" t="s">
        <v>13</v>
      </c>
      <c r="F69" s="17">
        <f t="shared" si="1"/>
        <v>0</v>
      </c>
      <c r="G69" s="8" t="s">
        <v>14</v>
      </c>
      <c r="H69" s="17"/>
    </row>
    <row r="70" ht="22.5" customHeight="1">
      <c r="A70" s="43"/>
      <c r="B70" s="44"/>
      <c r="D70" s="45"/>
      <c r="E70" s="5" t="s">
        <v>13</v>
      </c>
      <c r="F70" s="17">
        <f t="shared" si="1"/>
        <v>0</v>
      </c>
      <c r="G70" s="8" t="s">
        <v>14</v>
      </c>
      <c r="H70" s="17"/>
    </row>
    <row r="71" ht="22.5" customHeight="1">
      <c r="A71" s="43"/>
      <c r="B71" s="44"/>
      <c r="D71" s="45"/>
      <c r="E71" s="5" t="s">
        <v>13</v>
      </c>
      <c r="F71" s="17">
        <f t="shared" si="1"/>
        <v>0</v>
      </c>
      <c r="G71" s="8" t="s">
        <v>14</v>
      </c>
      <c r="H71" s="17"/>
    </row>
    <row r="72" ht="22.5" customHeight="1">
      <c r="A72" s="43"/>
      <c r="B72" s="44"/>
      <c r="D72" s="45"/>
      <c r="E72" s="5" t="s">
        <v>13</v>
      </c>
      <c r="F72" s="17">
        <f t="shared" si="1"/>
        <v>0</v>
      </c>
      <c r="G72" s="8" t="s">
        <v>14</v>
      </c>
      <c r="H72" s="17"/>
    </row>
    <row r="73" ht="22.5" customHeight="1">
      <c r="A73" s="43"/>
      <c r="B73" s="44"/>
      <c r="D73" s="45"/>
      <c r="E73" s="5" t="s">
        <v>13</v>
      </c>
      <c r="F73" s="17">
        <f t="shared" si="1"/>
        <v>0</v>
      </c>
      <c r="G73" s="8" t="s">
        <v>14</v>
      </c>
      <c r="H73" s="17"/>
    </row>
    <row r="74" ht="22.5" customHeight="1">
      <c r="A74" s="43"/>
      <c r="B74" s="44"/>
      <c r="D74" s="45"/>
      <c r="E74" s="5" t="s">
        <v>13</v>
      </c>
      <c r="F74" s="17">
        <f t="shared" si="1"/>
        <v>0</v>
      </c>
      <c r="G74" s="8" t="s">
        <v>14</v>
      </c>
      <c r="H74" s="17"/>
    </row>
    <row r="75" ht="22.5" customHeight="1">
      <c r="A75" s="43"/>
      <c r="B75" s="44"/>
      <c r="D75" s="45"/>
      <c r="E75" s="5" t="s">
        <v>13</v>
      </c>
      <c r="F75" s="17">
        <f t="shared" si="1"/>
        <v>0</v>
      </c>
      <c r="G75" s="8" t="s">
        <v>14</v>
      </c>
      <c r="H75" s="17"/>
    </row>
    <row r="76" ht="22.5" customHeight="1">
      <c r="A76" s="43"/>
      <c r="B76" s="44"/>
      <c r="D76" s="45"/>
      <c r="E76" s="5" t="s">
        <v>13</v>
      </c>
      <c r="F76" s="17">
        <f t="shared" si="1"/>
        <v>0</v>
      </c>
      <c r="G76" s="8" t="s">
        <v>14</v>
      </c>
      <c r="H76" s="17"/>
    </row>
    <row r="77" ht="22.5" customHeight="1">
      <c r="A77" s="43"/>
      <c r="B77" s="44"/>
      <c r="D77" s="45"/>
      <c r="E77" s="5" t="s">
        <v>13</v>
      </c>
      <c r="F77" s="17">
        <f t="shared" si="1"/>
        <v>0</v>
      </c>
      <c r="G77" s="8" t="s">
        <v>14</v>
      </c>
      <c r="H77" s="17"/>
    </row>
    <row r="78" ht="22.5" customHeight="1">
      <c r="A78" s="43"/>
      <c r="B78" s="44"/>
      <c r="D78" s="45"/>
      <c r="E78" s="5" t="s">
        <v>13</v>
      </c>
      <c r="F78" s="17">
        <f t="shared" si="1"/>
        <v>0</v>
      </c>
      <c r="G78" s="8" t="s">
        <v>14</v>
      </c>
      <c r="H78" s="17"/>
    </row>
    <row r="79" ht="22.5" customHeight="1">
      <c r="A79" s="43"/>
      <c r="B79" s="44"/>
      <c r="D79" s="45"/>
      <c r="E79" s="5" t="s">
        <v>13</v>
      </c>
      <c r="F79" s="17">
        <f t="shared" si="1"/>
        <v>0</v>
      </c>
      <c r="G79" s="8" t="s">
        <v>14</v>
      </c>
      <c r="H79" s="17"/>
    </row>
    <row r="80" ht="22.5" customHeight="1">
      <c r="A80" s="43"/>
      <c r="B80" s="44"/>
      <c r="D80" s="45"/>
      <c r="E80" s="5" t="s">
        <v>13</v>
      </c>
      <c r="F80" s="17">
        <f t="shared" si="1"/>
        <v>0</v>
      </c>
      <c r="G80" s="8" t="s">
        <v>14</v>
      </c>
      <c r="H80" s="17"/>
    </row>
    <row r="81" ht="22.5" customHeight="1">
      <c r="A81" s="43"/>
      <c r="B81" s="44"/>
      <c r="D81" s="45"/>
      <c r="E81" s="5" t="s">
        <v>13</v>
      </c>
      <c r="F81" s="17">
        <f t="shared" si="1"/>
        <v>0</v>
      </c>
      <c r="G81" s="8" t="s">
        <v>14</v>
      </c>
      <c r="H81" s="17"/>
    </row>
    <row r="82" ht="22.5" customHeight="1">
      <c r="A82" s="43"/>
      <c r="B82" s="44"/>
      <c r="D82" s="45"/>
      <c r="E82" s="5" t="s">
        <v>13</v>
      </c>
      <c r="F82" s="17">
        <f t="shared" si="1"/>
        <v>0</v>
      </c>
      <c r="G82" s="8" t="s">
        <v>14</v>
      </c>
      <c r="H82" s="17"/>
    </row>
    <row r="83" ht="22.5" customHeight="1">
      <c r="A83" s="43"/>
      <c r="B83" s="44"/>
      <c r="D83" s="45"/>
      <c r="E83" s="5" t="s">
        <v>13</v>
      </c>
      <c r="F83" s="17">
        <f t="shared" si="1"/>
        <v>0</v>
      </c>
      <c r="G83" s="8" t="s">
        <v>14</v>
      </c>
      <c r="H83" s="17"/>
    </row>
    <row r="84" ht="22.5" customHeight="1">
      <c r="A84" s="43"/>
      <c r="B84" s="44"/>
      <c r="D84" s="45"/>
      <c r="E84" s="5" t="s">
        <v>13</v>
      </c>
      <c r="F84" s="17">
        <f t="shared" si="1"/>
        <v>0</v>
      </c>
      <c r="G84" s="8" t="s">
        <v>16</v>
      </c>
      <c r="H84" s="17"/>
    </row>
    <row r="85" ht="22.5" customHeight="1">
      <c r="A85" s="4"/>
      <c r="B85" s="44"/>
      <c r="D85" s="7"/>
      <c r="E85" s="5" t="s">
        <v>13</v>
      </c>
      <c r="F85" s="17">
        <f t="shared" si="1"/>
        <v>0</v>
      </c>
      <c r="G85" s="8" t="s">
        <v>14</v>
      </c>
      <c r="H85" s="17"/>
    </row>
    <row r="86" ht="22.5" customHeight="1">
      <c r="A86" s="4"/>
      <c r="B86" s="44"/>
      <c r="D86" s="7"/>
      <c r="E86" s="5" t="s">
        <v>13</v>
      </c>
      <c r="F86" s="17">
        <f t="shared" si="1"/>
        <v>0</v>
      </c>
      <c r="G86" s="8" t="s">
        <v>14</v>
      </c>
      <c r="H86" s="17"/>
    </row>
    <row r="87" ht="22.5" customHeight="1">
      <c r="A87" s="4"/>
      <c r="B87" s="44"/>
      <c r="D87" s="7"/>
      <c r="E87" s="5" t="s">
        <v>13</v>
      </c>
      <c r="F87" s="17">
        <f t="shared" si="1"/>
        <v>0</v>
      </c>
      <c r="G87" s="17"/>
      <c r="H87" s="17"/>
    </row>
    <row r="88" ht="22.5" customHeight="1">
      <c r="A88" s="4"/>
      <c r="B88" s="44"/>
      <c r="D88" s="7"/>
      <c r="E88" s="5" t="s">
        <v>13</v>
      </c>
      <c r="F88" s="17">
        <f t="shared" si="1"/>
        <v>0</v>
      </c>
      <c r="G88" s="8" t="s">
        <v>14</v>
      </c>
      <c r="H88" s="17"/>
    </row>
    <row r="89" ht="22.5" customHeight="1">
      <c r="A89" s="4"/>
      <c r="B89" s="44"/>
      <c r="D89" s="7"/>
      <c r="E89" s="5" t="s">
        <v>13</v>
      </c>
      <c r="F89" s="17">
        <f t="shared" si="1"/>
        <v>0</v>
      </c>
      <c r="G89" s="17"/>
      <c r="H89" s="17"/>
    </row>
    <row r="90" ht="22.5" customHeight="1">
      <c r="A90" s="4"/>
      <c r="B90" s="44"/>
      <c r="D90" s="7"/>
      <c r="E90" s="5" t="s">
        <v>13</v>
      </c>
      <c r="F90" s="17">
        <f t="shared" si="1"/>
        <v>0</v>
      </c>
      <c r="G90" s="17"/>
      <c r="H90" s="17"/>
    </row>
    <row r="91" ht="22.5" customHeight="1">
      <c r="A91" s="4"/>
      <c r="B91" s="44"/>
      <c r="D91" s="7"/>
      <c r="E91" s="5" t="s">
        <v>13</v>
      </c>
      <c r="F91" s="17">
        <f t="shared" si="1"/>
        <v>0</v>
      </c>
      <c r="G91" s="17"/>
      <c r="H91" s="17"/>
    </row>
    <row r="92" ht="22.5" customHeight="1">
      <c r="A92" s="4"/>
      <c r="B92" s="44"/>
      <c r="D92" s="7"/>
      <c r="E92" s="5" t="s">
        <v>13</v>
      </c>
      <c r="F92" s="17">
        <f t="shared" si="1"/>
        <v>0</v>
      </c>
      <c r="G92" s="17"/>
      <c r="H92" s="17"/>
    </row>
    <row r="93" ht="22.5" customHeight="1">
      <c r="A93" s="4"/>
      <c r="B93" s="44"/>
      <c r="D93" s="7"/>
      <c r="E93" s="5" t="s">
        <v>13</v>
      </c>
      <c r="F93" s="17">
        <f t="shared" si="1"/>
        <v>0</v>
      </c>
      <c r="G93" s="17"/>
      <c r="H93" s="17"/>
    </row>
    <row r="94" ht="22.5" customHeight="1">
      <c r="A94" s="4"/>
      <c r="B94" s="44"/>
      <c r="D94" s="7"/>
      <c r="E94" s="5" t="s">
        <v>13</v>
      </c>
      <c r="F94" s="17">
        <f t="shared" si="1"/>
        <v>0</v>
      </c>
      <c r="G94" s="17"/>
      <c r="H94" s="17"/>
    </row>
    <row r="95" ht="22.5" customHeight="1">
      <c r="A95" s="4"/>
      <c r="B95" s="44"/>
      <c r="D95" s="7"/>
      <c r="E95" s="5" t="s">
        <v>13</v>
      </c>
      <c r="F95" s="17">
        <f t="shared" si="1"/>
        <v>0</v>
      </c>
      <c r="G95" s="17"/>
      <c r="H95" s="17"/>
    </row>
    <row r="96" ht="22.5" customHeight="1">
      <c r="A96" s="4"/>
      <c r="D96" s="7"/>
      <c r="E96" s="31"/>
      <c r="F96" s="17">
        <f>SUM(July_5[TWD])</f>
        <v>-21023</v>
      </c>
      <c r="G96" s="26"/>
      <c r="H96" s="26"/>
    </row>
    <row r="97">
      <c r="A97" s="46"/>
      <c r="D97" s="47"/>
      <c r="E97" s="38"/>
      <c r="F97" s="42"/>
      <c r="G97" s="41"/>
      <c r="H97" s="41"/>
    </row>
    <row r="98">
      <c r="A98" s="46"/>
      <c r="D98" s="47"/>
      <c r="E98" s="38"/>
      <c r="F98" s="42"/>
      <c r="G98" s="41"/>
      <c r="H98" s="41"/>
    </row>
    <row r="99">
      <c r="A99" s="46"/>
      <c r="D99" s="47"/>
      <c r="E99" s="38"/>
      <c r="F99" s="42"/>
      <c r="G99" s="41"/>
      <c r="H99" s="41"/>
    </row>
    <row r="100">
      <c r="A100" s="46"/>
      <c r="D100" s="47"/>
      <c r="E100" s="38"/>
      <c r="F100" s="42"/>
      <c r="G100" s="41"/>
      <c r="H100" s="41"/>
    </row>
    <row r="101">
      <c r="A101" s="46"/>
      <c r="D101" s="47"/>
      <c r="E101" s="38"/>
      <c r="F101" s="42"/>
      <c r="G101" s="41"/>
      <c r="H101" s="41"/>
    </row>
    <row r="102">
      <c r="A102" s="46"/>
      <c r="D102" s="47"/>
      <c r="E102" s="38"/>
      <c r="F102" s="42"/>
      <c r="G102" s="41"/>
      <c r="H102" s="41"/>
    </row>
    <row r="103">
      <c r="A103" s="46"/>
      <c r="D103" s="47"/>
      <c r="E103" s="38"/>
      <c r="F103" s="42"/>
      <c r="G103" s="41"/>
      <c r="H103" s="41"/>
    </row>
    <row r="104">
      <c r="A104" s="46"/>
      <c r="D104" s="47"/>
      <c r="F104" s="42"/>
    </row>
    <row r="105">
      <c r="A105" s="46"/>
      <c r="D105" s="47"/>
      <c r="F105" s="42"/>
    </row>
    <row r="106">
      <c r="A106" s="46"/>
      <c r="D106" s="47"/>
      <c r="F106" s="42"/>
    </row>
    <row r="107">
      <c r="A107" s="46"/>
      <c r="D107" s="47"/>
      <c r="F107" s="42"/>
    </row>
    <row r="108">
      <c r="A108" s="46"/>
      <c r="D108" s="47"/>
      <c r="F108" s="42"/>
    </row>
    <row r="109">
      <c r="A109" s="46"/>
      <c r="D109" s="47"/>
      <c r="F109" s="42"/>
    </row>
    <row r="110">
      <c r="A110" s="46"/>
      <c r="D110" s="47"/>
      <c r="F110" s="42"/>
    </row>
    <row r="111">
      <c r="A111" s="46"/>
      <c r="D111" s="47"/>
      <c r="F111" s="42"/>
    </row>
    <row r="112">
      <c r="A112" s="46"/>
      <c r="D112" s="47"/>
      <c r="F112" s="42"/>
    </row>
    <row r="113">
      <c r="A113" s="46"/>
      <c r="D113" s="47"/>
      <c r="F113" s="42"/>
    </row>
    <row r="114">
      <c r="A114" s="46"/>
      <c r="D114" s="47"/>
      <c r="F114" s="42"/>
    </row>
    <row r="115">
      <c r="A115" s="46"/>
      <c r="D115" s="47"/>
      <c r="F115" s="42"/>
    </row>
    <row r="116">
      <c r="A116" s="46"/>
      <c r="D116" s="47"/>
      <c r="F116" s="42"/>
    </row>
    <row r="117">
      <c r="A117" s="46"/>
      <c r="D117" s="47"/>
      <c r="F117" s="42"/>
    </row>
    <row r="118">
      <c r="A118" s="46"/>
      <c r="D118" s="47"/>
      <c r="F118" s="42"/>
    </row>
    <row r="119">
      <c r="A119" s="46"/>
      <c r="D119" s="47"/>
      <c r="F119" s="42"/>
    </row>
    <row r="120">
      <c r="A120" s="46"/>
      <c r="D120" s="47"/>
      <c r="F120" s="42"/>
    </row>
    <row r="121">
      <c r="A121" s="46"/>
      <c r="D121" s="47"/>
      <c r="F121" s="42"/>
    </row>
    <row r="122">
      <c r="A122" s="46"/>
      <c r="D122" s="47"/>
      <c r="F122" s="42"/>
    </row>
    <row r="123">
      <c r="A123" s="46"/>
      <c r="D123" s="47"/>
      <c r="F123" s="42"/>
    </row>
    <row r="124">
      <c r="A124" s="46"/>
      <c r="D124" s="47"/>
      <c r="F124" s="42"/>
    </row>
    <row r="125">
      <c r="A125" s="46"/>
      <c r="D125" s="47"/>
      <c r="F125" s="42"/>
    </row>
    <row r="126">
      <c r="A126" s="46"/>
      <c r="D126" s="47"/>
      <c r="F126" s="42"/>
    </row>
    <row r="127">
      <c r="A127" s="46"/>
      <c r="D127" s="47"/>
      <c r="F127" s="42"/>
    </row>
    <row r="128">
      <c r="A128" s="46"/>
      <c r="D128" s="47"/>
      <c r="F128" s="42"/>
    </row>
    <row r="129">
      <c r="A129" s="46"/>
      <c r="D129" s="47"/>
      <c r="F129" s="42"/>
    </row>
    <row r="130">
      <c r="A130" s="46"/>
      <c r="D130" s="47"/>
      <c r="F130" s="42"/>
    </row>
    <row r="131">
      <c r="A131" s="46"/>
      <c r="D131" s="47"/>
      <c r="F131" s="42"/>
    </row>
    <row r="132">
      <c r="A132" s="46"/>
      <c r="D132" s="47"/>
      <c r="F132" s="42"/>
    </row>
    <row r="133">
      <c r="A133" s="46"/>
      <c r="D133" s="47"/>
      <c r="F133" s="42"/>
    </row>
    <row r="134">
      <c r="A134" s="46"/>
      <c r="D134" s="47"/>
      <c r="F134" s="42"/>
    </row>
    <row r="135">
      <c r="A135" s="46"/>
      <c r="D135" s="47"/>
      <c r="F135" s="42"/>
    </row>
    <row r="136">
      <c r="A136" s="46"/>
      <c r="D136" s="47"/>
      <c r="F136" s="42"/>
    </row>
    <row r="137">
      <c r="A137" s="46"/>
      <c r="D137" s="47"/>
      <c r="F137" s="42"/>
    </row>
    <row r="138">
      <c r="A138" s="46"/>
      <c r="D138" s="47"/>
      <c r="F138" s="42"/>
    </row>
    <row r="139">
      <c r="A139" s="46"/>
      <c r="D139" s="47"/>
      <c r="F139" s="42"/>
    </row>
    <row r="140">
      <c r="A140" s="46"/>
      <c r="D140" s="47"/>
      <c r="F140" s="42"/>
    </row>
    <row r="141">
      <c r="A141" s="46"/>
      <c r="D141" s="47"/>
      <c r="F141" s="42"/>
    </row>
    <row r="142">
      <c r="A142" s="46"/>
      <c r="D142" s="47"/>
      <c r="F142" s="42"/>
    </row>
    <row r="143">
      <c r="A143" s="46"/>
      <c r="D143" s="47"/>
      <c r="F143" s="42"/>
    </row>
    <row r="144">
      <c r="A144" s="46"/>
      <c r="D144" s="47"/>
      <c r="F144" s="42"/>
    </row>
    <row r="145">
      <c r="A145" s="46"/>
      <c r="D145" s="47"/>
      <c r="F145" s="42"/>
    </row>
    <row r="146">
      <c r="A146" s="46"/>
      <c r="D146" s="47"/>
      <c r="F146" s="42"/>
    </row>
    <row r="147">
      <c r="A147" s="46"/>
      <c r="D147" s="47"/>
      <c r="F147" s="42"/>
    </row>
    <row r="148">
      <c r="A148" s="46"/>
      <c r="D148" s="47"/>
      <c r="F148" s="42"/>
    </row>
    <row r="149">
      <c r="A149" s="46"/>
      <c r="D149" s="47"/>
      <c r="F149" s="42"/>
    </row>
    <row r="150">
      <c r="A150" s="46"/>
      <c r="D150" s="47"/>
      <c r="F150" s="42"/>
    </row>
    <row r="151">
      <c r="A151" s="46"/>
      <c r="D151" s="47"/>
      <c r="F151" s="42"/>
    </row>
    <row r="152">
      <c r="F152" s="42"/>
    </row>
    <row r="153">
      <c r="F153" s="42"/>
    </row>
    <row r="154">
      <c r="F154" s="42"/>
    </row>
    <row r="155">
      <c r="F155" s="42"/>
    </row>
    <row r="156">
      <c r="F156" s="42"/>
    </row>
    <row r="157">
      <c r="F157" s="42"/>
    </row>
    <row r="158">
      <c r="F158" s="42"/>
    </row>
    <row r="159">
      <c r="F159" s="42"/>
    </row>
    <row r="160">
      <c r="F160" s="42"/>
    </row>
    <row r="161">
      <c r="F161" s="42"/>
    </row>
    <row r="162">
      <c r="F162" s="42"/>
    </row>
    <row r="163">
      <c r="F163" s="42"/>
    </row>
    <row r="164">
      <c r="F164" s="42"/>
    </row>
    <row r="165">
      <c r="F165" s="42"/>
    </row>
    <row r="166">
      <c r="F166" s="42"/>
    </row>
    <row r="167">
      <c r="F167" s="42"/>
    </row>
    <row r="168">
      <c r="F168" s="42"/>
    </row>
    <row r="169">
      <c r="F169" s="42"/>
    </row>
    <row r="170">
      <c r="F170" s="42"/>
    </row>
    <row r="171">
      <c r="F171" s="42"/>
    </row>
  </sheetData>
  <dataValidations>
    <dataValidation type="list" allowBlank="1" sqref="B2:B95">
      <formula1>"Income,Trasportation,Accommdation,Others,Food,Entertainment "</formula1>
    </dataValidation>
    <dataValidation type="list" allowBlank="1" sqref="E2:E95">
      <formula1>"AUD,TWD,Yen"</formula1>
    </dataValidation>
    <dataValidation type="custom" allowBlank="1" showDropDown="1" sqref="A2:A95">
      <formula1>OR(NOT(ISERROR(DATEVALUE(A2))), AND(ISNUMBER(A2), LEFT(CELL("format", A2))="D"))</formula1>
    </dataValidation>
    <dataValidation type="custom" allowBlank="1" showDropDown="1" sqref="D2:D95">
      <formula1>AND(ISNUMBER(D2),(NOT(OR(NOT(ISERROR(DATEVALUE(D2))), AND(ISNUMBER(D2), LEFT(CELL("format", D2))="D")))))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8"/>
  </hyperlinks>
  <drawing r:id="rId87"/>
  <tableParts count="1">
    <tablePart r:id="rId8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13</v>
      </c>
      <c r="G1" s="2" t="s">
        <v>5</v>
      </c>
      <c r="H1" s="2" t="s">
        <v>118</v>
      </c>
    </row>
    <row r="2" ht="22.5" customHeight="1">
      <c r="A2" s="4">
        <v>45992.0</v>
      </c>
      <c r="B2" s="5" t="s">
        <v>11</v>
      </c>
      <c r="C2" s="6" t="s">
        <v>12</v>
      </c>
      <c r="D2" s="7">
        <v>28000.0</v>
      </c>
      <c r="E2" s="5" t="s">
        <v>13</v>
      </c>
      <c r="F2" s="17">
        <f t="shared" ref="F2:F85" si="1">D2*1</f>
        <v>28000</v>
      </c>
      <c r="G2" s="8" t="s">
        <v>14</v>
      </c>
      <c r="H2" s="17"/>
    </row>
    <row r="3" ht="22.5" customHeight="1">
      <c r="A3" s="4">
        <v>45992.0</v>
      </c>
      <c r="B3" s="5" t="s">
        <v>11</v>
      </c>
      <c r="C3" s="6" t="s">
        <v>15</v>
      </c>
      <c r="D3" s="7">
        <v>22000.0</v>
      </c>
      <c r="E3" s="5" t="s">
        <v>13</v>
      </c>
      <c r="F3" s="17">
        <f t="shared" si="1"/>
        <v>22000</v>
      </c>
      <c r="G3" s="8" t="s">
        <v>16</v>
      </c>
      <c r="H3" s="17"/>
    </row>
    <row r="4" ht="22.5" customHeight="1">
      <c r="A4" s="4">
        <v>45992.0</v>
      </c>
      <c r="B4" s="5" t="s">
        <v>58</v>
      </c>
      <c r="C4" s="6" t="s">
        <v>159</v>
      </c>
      <c r="D4" s="7">
        <v>-29305.0</v>
      </c>
      <c r="E4" s="5" t="s">
        <v>13</v>
      </c>
      <c r="F4" s="17">
        <f t="shared" si="1"/>
        <v>-29305</v>
      </c>
      <c r="G4" s="8" t="s">
        <v>14</v>
      </c>
      <c r="H4" s="17"/>
    </row>
    <row r="5" ht="22.5" customHeight="1">
      <c r="A5" s="4">
        <v>45992.0</v>
      </c>
      <c r="B5" s="5" t="s">
        <v>17</v>
      </c>
      <c r="C5" s="6" t="s">
        <v>20</v>
      </c>
      <c r="D5" s="7">
        <v>-660.0</v>
      </c>
      <c r="E5" s="5" t="s">
        <v>13</v>
      </c>
      <c r="F5" s="17">
        <f t="shared" si="1"/>
        <v>-660</v>
      </c>
      <c r="G5" s="8" t="s">
        <v>14</v>
      </c>
      <c r="H5" s="17"/>
    </row>
    <row r="6" ht="22.5" customHeight="1">
      <c r="A6" s="4">
        <v>45992.0</v>
      </c>
      <c r="B6" s="5" t="s">
        <v>17</v>
      </c>
      <c r="C6" s="6" t="s">
        <v>21</v>
      </c>
      <c r="D6" s="7">
        <v>-479.0</v>
      </c>
      <c r="E6" s="5" t="s">
        <v>13</v>
      </c>
      <c r="F6" s="17">
        <f t="shared" si="1"/>
        <v>-479</v>
      </c>
      <c r="G6" s="8" t="s">
        <v>14</v>
      </c>
      <c r="H6" s="17"/>
    </row>
    <row r="7" ht="22.5" customHeight="1">
      <c r="A7" s="4">
        <v>45992.0</v>
      </c>
      <c r="B7" s="5" t="s">
        <v>17</v>
      </c>
      <c r="C7" s="6" t="s">
        <v>260</v>
      </c>
      <c r="D7" s="7">
        <v>-3300.0</v>
      </c>
      <c r="E7" s="5" t="s">
        <v>13</v>
      </c>
      <c r="F7" s="17">
        <f t="shared" si="1"/>
        <v>-3300</v>
      </c>
      <c r="G7" s="8" t="s">
        <v>14</v>
      </c>
      <c r="H7" s="17"/>
    </row>
    <row r="8" ht="22.5" customHeight="1">
      <c r="A8" s="4">
        <v>45992.0</v>
      </c>
      <c r="B8" s="5" t="s">
        <v>17</v>
      </c>
      <c r="C8" s="6" t="s">
        <v>305</v>
      </c>
      <c r="D8" s="7">
        <v>-1200.0</v>
      </c>
      <c r="E8" s="5" t="s">
        <v>13</v>
      </c>
      <c r="F8" s="17">
        <f t="shared" si="1"/>
        <v>-1200</v>
      </c>
      <c r="G8" s="8" t="s">
        <v>14</v>
      </c>
      <c r="H8" s="17"/>
    </row>
    <row r="9" ht="22.5" customHeight="1">
      <c r="A9" s="4">
        <v>45992.0</v>
      </c>
      <c r="B9" s="5" t="s">
        <v>22</v>
      </c>
      <c r="C9" s="6" t="s">
        <v>29</v>
      </c>
      <c r="D9" s="7">
        <v>-4236.0</v>
      </c>
      <c r="E9" s="5" t="s">
        <v>13</v>
      </c>
      <c r="F9" s="17">
        <f t="shared" si="1"/>
        <v>-4236</v>
      </c>
      <c r="G9" s="8" t="s">
        <v>16</v>
      </c>
      <c r="H9" s="17"/>
    </row>
    <row r="10" ht="22.5" customHeight="1">
      <c r="A10" s="4">
        <v>45992.0</v>
      </c>
      <c r="B10" s="5" t="s">
        <v>22</v>
      </c>
      <c r="C10" s="6" t="s">
        <v>29</v>
      </c>
      <c r="D10" s="7">
        <v>-3971.0</v>
      </c>
      <c r="E10" s="5" t="s">
        <v>13</v>
      </c>
      <c r="F10" s="17">
        <f t="shared" si="1"/>
        <v>-3971</v>
      </c>
      <c r="G10" s="8" t="s">
        <v>16</v>
      </c>
      <c r="H10" s="17"/>
    </row>
    <row r="11" ht="22.5" customHeight="1">
      <c r="A11" s="4">
        <v>45994.0</v>
      </c>
      <c r="B11" s="5" t="s">
        <v>22</v>
      </c>
      <c r="C11" s="6" t="s">
        <v>27</v>
      </c>
      <c r="D11" s="7">
        <v>-409.0</v>
      </c>
      <c r="E11" s="5" t="s">
        <v>13</v>
      </c>
      <c r="F11" s="17">
        <f t="shared" si="1"/>
        <v>-409</v>
      </c>
      <c r="G11" s="8" t="s">
        <v>14</v>
      </c>
      <c r="H11" s="17"/>
    </row>
    <row r="12" ht="22.5" customHeight="1">
      <c r="A12" s="4">
        <v>45994.0</v>
      </c>
      <c r="B12" s="5" t="s">
        <v>22</v>
      </c>
      <c r="C12" s="6" t="s">
        <v>166</v>
      </c>
      <c r="D12" s="7">
        <v>-114.0</v>
      </c>
      <c r="E12" s="5" t="s">
        <v>13</v>
      </c>
      <c r="F12" s="17">
        <f t="shared" si="1"/>
        <v>-114</v>
      </c>
      <c r="G12" s="8" t="s">
        <v>14</v>
      </c>
      <c r="H12" s="17"/>
    </row>
    <row r="13" ht="22.5" customHeight="1">
      <c r="A13" s="4">
        <v>45995.0</v>
      </c>
      <c r="B13" s="5" t="s">
        <v>22</v>
      </c>
      <c r="C13" s="6" t="s">
        <v>306</v>
      </c>
      <c r="D13" s="7">
        <v>-65.0</v>
      </c>
      <c r="E13" s="5" t="s">
        <v>13</v>
      </c>
      <c r="F13" s="17">
        <f t="shared" si="1"/>
        <v>-65</v>
      </c>
      <c r="G13" s="8" t="s">
        <v>14</v>
      </c>
      <c r="H13" s="17"/>
    </row>
    <row r="14" ht="22.5" customHeight="1">
      <c r="A14" s="4">
        <v>45996.0</v>
      </c>
      <c r="B14" s="5" t="s">
        <v>17</v>
      </c>
      <c r="C14" s="6" t="s">
        <v>31</v>
      </c>
      <c r="D14" s="7">
        <v>-90.0</v>
      </c>
      <c r="E14" s="5" t="s">
        <v>13</v>
      </c>
      <c r="F14" s="17">
        <f t="shared" si="1"/>
        <v>-90</v>
      </c>
      <c r="G14" s="8" t="s">
        <v>14</v>
      </c>
      <c r="H14" s="17"/>
    </row>
    <row r="15" ht="22.5" customHeight="1">
      <c r="A15" s="4">
        <v>45996.0</v>
      </c>
      <c r="B15" s="5" t="s">
        <v>22</v>
      </c>
      <c r="C15" s="6" t="s">
        <v>29</v>
      </c>
      <c r="D15" s="7">
        <v>-1634.0</v>
      </c>
      <c r="E15" s="5" t="s">
        <v>13</v>
      </c>
      <c r="F15" s="17">
        <f t="shared" si="1"/>
        <v>-1634</v>
      </c>
      <c r="G15" s="8" t="s">
        <v>14</v>
      </c>
      <c r="H15" s="17"/>
    </row>
    <row r="16" ht="22.5" customHeight="1">
      <c r="A16" s="4">
        <v>45996.0</v>
      </c>
      <c r="B16" s="5" t="s">
        <v>17</v>
      </c>
      <c r="C16" s="6" t="s">
        <v>307</v>
      </c>
      <c r="D16" s="7">
        <v>-180.0</v>
      </c>
      <c r="E16" s="5" t="s">
        <v>13</v>
      </c>
      <c r="F16" s="17">
        <f t="shared" si="1"/>
        <v>-180</v>
      </c>
      <c r="G16" s="8" t="s">
        <v>14</v>
      </c>
      <c r="H16" s="17"/>
    </row>
    <row r="17" ht="22.5" customHeight="1">
      <c r="A17" s="4">
        <v>45998.0</v>
      </c>
      <c r="B17" s="5" t="s">
        <v>22</v>
      </c>
      <c r="C17" s="6" t="s">
        <v>211</v>
      </c>
      <c r="D17" s="7">
        <v>-144.0</v>
      </c>
      <c r="E17" s="5" t="s">
        <v>13</v>
      </c>
      <c r="F17" s="17">
        <f t="shared" si="1"/>
        <v>-144</v>
      </c>
      <c r="G17" s="8" t="s">
        <v>14</v>
      </c>
      <c r="H17" s="17"/>
    </row>
    <row r="18" ht="22.5" customHeight="1">
      <c r="A18" s="4">
        <v>45998.0</v>
      </c>
      <c r="B18" s="5" t="s">
        <v>22</v>
      </c>
      <c r="C18" s="6" t="s">
        <v>306</v>
      </c>
      <c r="D18" s="7">
        <v>-65.0</v>
      </c>
      <c r="E18" s="5" t="s">
        <v>13</v>
      </c>
      <c r="F18" s="17">
        <f t="shared" si="1"/>
        <v>-65</v>
      </c>
      <c r="G18" s="8" t="s">
        <v>14</v>
      </c>
      <c r="H18" s="17"/>
    </row>
    <row r="19" ht="22.5" customHeight="1">
      <c r="A19" s="4">
        <v>45998.0</v>
      </c>
      <c r="B19" s="5" t="s">
        <v>17</v>
      </c>
      <c r="C19" s="6" t="s">
        <v>308</v>
      </c>
      <c r="D19" s="7">
        <v>-775.0</v>
      </c>
      <c r="E19" s="5" t="s">
        <v>13</v>
      </c>
      <c r="F19" s="17">
        <f t="shared" si="1"/>
        <v>-775</v>
      </c>
      <c r="G19" s="8" t="s">
        <v>14</v>
      </c>
      <c r="H19" s="17"/>
    </row>
    <row r="20" ht="22.5" customHeight="1">
      <c r="A20" s="4">
        <v>45998.0</v>
      </c>
      <c r="B20" s="5" t="s">
        <v>22</v>
      </c>
      <c r="C20" s="6" t="s">
        <v>309</v>
      </c>
      <c r="D20" s="7">
        <v>-300.0</v>
      </c>
      <c r="E20" s="5" t="s">
        <v>13</v>
      </c>
      <c r="F20" s="17">
        <f t="shared" si="1"/>
        <v>-300</v>
      </c>
      <c r="G20" s="8" t="s">
        <v>14</v>
      </c>
      <c r="H20" s="17"/>
    </row>
    <row r="21" ht="22.5" customHeight="1">
      <c r="A21" s="4">
        <v>45998.0</v>
      </c>
      <c r="B21" s="5" t="s">
        <v>22</v>
      </c>
      <c r="C21" s="6" t="s">
        <v>27</v>
      </c>
      <c r="D21" s="7">
        <v>-403.0</v>
      </c>
      <c r="E21" s="5" t="s">
        <v>13</v>
      </c>
      <c r="F21" s="17">
        <f t="shared" si="1"/>
        <v>-403</v>
      </c>
      <c r="G21" s="8" t="s">
        <v>14</v>
      </c>
      <c r="H21" s="17"/>
    </row>
    <row r="22" ht="22.5" customHeight="1">
      <c r="A22" s="4">
        <v>45999.0</v>
      </c>
      <c r="B22" s="5" t="s">
        <v>22</v>
      </c>
      <c r="C22" s="6" t="s">
        <v>211</v>
      </c>
      <c r="D22" s="7">
        <v>-109.0</v>
      </c>
      <c r="E22" s="5" t="s">
        <v>13</v>
      </c>
      <c r="F22" s="17">
        <f t="shared" si="1"/>
        <v>-109</v>
      </c>
      <c r="G22" s="8" t="s">
        <v>14</v>
      </c>
      <c r="H22" s="17"/>
    </row>
    <row r="23" ht="22.5" customHeight="1">
      <c r="A23" s="4">
        <v>46000.0</v>
      </c>
      <c r="B23" s="5" t="s">
        <v>22</v>
      </c>
      <c r="C23" s="6" t="s">
        <v>211</v>
      </c>
      <c r="D23" s="7">
        <v>-129.0</v>
      </c>
      <c r="E23" s="5" t="s">
        <v>13</v>
      </c>
      <c r="F23" s="17">
        <f t="shared" si="1"/>
        <v>-129</v>
      </c>
      <c r="G23" s="8" t="s">
        <v>14</v>
      </c>
      <c r="H23" s="17"/>
    </row>
    <row r="24" ht="22.5" customHeight="1">
      <c r="A24" s="4">
        <v>46000.0</v>
      </c>
      <c r="B24" s="5" t="s">
        <v>17</v>
      </c>
      <c r="C24" s="6" t="s">
        <v>310</v>
      </c>
      <c r="D24" s="7">
        <v>-670.0</v>
      </c>
      <c r="E24" s="5" t="s">
        <v>13</v>
      </c>
      <c r="F24" s="17">
        <f t="shared" si="1"/>
        <v>-670</v>
      </c>
      <c r="G24" s="8" t="s">
        <v>14</v>
      </c>
      <c r="H24" s="17"/>
    </row>
    <row r="25" ht="22.5" customHeight="1">
      <c r="A25" s="4">
        <v>46001.0</v>
      </c>
      <c r="B25" s="5" t="s">
        <v>22</v>
      </c>
      <c r="C25" s="6" t="s">
        <v>211</v>
      </c>
      <c r="D25" s="7">
        <v>-141.0</v>
      </c>
      <c r="E25" s="5" t="s">
        <v>13</v>
      </c>
      <c r="F25" s="17">
        <f t="shared" si="1"/>
        <v>-141</v>
      </c>
      <c r="G25" s="8" t="s">
        <v>14</v>
      </c>
      <c r="H25" s="17"/>
    </row>
    <row r="26" ht="22.5" customHeight="1">
      <c r="A26" s="4">
        <v>46001.0</v>
      </c>
      <c r="B26" s="5" t="s">
        <v>17</v>
      </c>
      <c r="C26" s="6" t="s">
        <v>310</v>
      </c>
      <c r="D26" s="7">
        <v>-223.0</v>
      </c>
      <c r="E26" s="5" t="s">
        <v>13</v>
      </c>
      <c r="F26" s="17">
        <f t="shared" si="1"/>
        <v>-223</v>
      </c>
      <c r="G26" s="8" t="s">
        <v>14</v>
      </c>
      <c r="H26" s="17"/>
    </row>
    <row r="27" ht="22.5" customHeight="1">
      <c r="A27" s="4">
        <v>46004.0</v>
      </c>
      <c r="B27" s="5" t="s">
        <v>22</v>
      </c>
      <c r="C27" s="6" t="s">
        <v>166</v>
      </c>
      <c r="D27" s="7">
        <v>-96.0</v>
      </c>
      <c r="E27" s="5" t="s">
        <v>13</v>
      </c>
      <c r="F27" s="17">
        <f t="shared" si="1"/>
        <v>-96</v>
      </c>
      <c r="G27" s="8" t="s">
        <v>14</v>
      </c>
      <c r="H27" s="17"/>
    </row>
    <row r="28" ht="22.5" customHeight="1">
      <c r="A28" s="4">
        <v>46004.0</v>
      </c>
      <c r="B28" s="5" t="s">
        <v>22</v>
      </c>
      <c r="C28" s="6" t="s">
        <v>27</v>
      </c>
      <c r="D28" s="7">
        <v>-438.0</v>
      </c>
      <c r="E28" s="5" t="s">
        <v>13</v>
      </c>
      <c r="F28" s="17">
        <f t="shared" si="1"/>
        <v>-438</v>
      </c>
      <c r="G28" s="8" t="s">
        <v>14</v>
      </c>
      <c r="H28" s="17"/>
    </row>
    <row r="29" ht="22.5" customHeight="1">
      <c r="A29" s="4">
        <v>46004.0</v>
      </c>
      <c r="B29" s="5" t="s">
        <v>22</v>
      </c>
      <c r="C29" s="6" t="s">
        <v>211</v>
      </c>
      <c r="D29" s="7">
        <v>-30.0</v>
      </c>
      <c r="E29" s="5" t="s">
        <v>13</v>
      </c>
      <c r="F29" s="17">
        <f t="shared" si="1"/>
        <v>-30</v>
      </c>
      <c r="G29" s="8" t="s">
        <v>14</v>
      </c>
      <c r="H29" s="17"/>
    </row>
    <row r="30" ht="22.5" customHeight="1">
      <c r="A30" s="4">
        <v>46004.0</v>
      </c>
      <c r="B30" s="5" t="s">
        <v>22</v>
      </c>
      <c r="C30" s="6" t="s">
        <v>211</v>
      </c>
      <c r="D30" s="7">
        <v>-97.0</v>
      </c>
      <c r="E30" s="5" t="s">
        <v>13</v>
      </c>
      <c r="F30" s="17">
        <f t="shared" si="1"/>
        <v>-97</v>
      </c>
      <c r="G30" s="8" t="s">
        <v>14</v>
      </c>
      <c r="H30" s="17"/>
    </row>
    <row r="31" ht="22.5" customHeight="1">
      <c r="A31" s="4">
        <v>46004.0</v>
      </c>
      <c r="B31" s="5" t="s">
        <v>22</v>
      </c>
      <c r="C31" s="6" t="s">
        <v>249</v>
      </c>
      <c r="D31" s="7">
        <v>-365.0</v>
      </c>
      <c r="E31" s="5" t="s">
        <v>13</v>
      </c>
      <c r="F31" s="17">
        <f t="shared" si="1"/>
        <v>-365</v>
      </c>
      <c r="G31" s="8" t="s">
        <v>14</v>
      </c>
      <c r="H31" s="17"/>
    </row>
    <row r="32" ht="22.5" customHeight="1">
      <c r="A32" s="4">
        <v>46004.0</v>
      </c>
      <c r="B32" s="5" t="s">
        <v>22</v>
      </c>
      <c r="C32" s="6" t="s">
        <v>311</v>
      </c>
      <c r="D32" s="7">
        <v>-135.0</v>
      </c>
      <c r="E32" s="5" t="s">
        <v>13</v>
      </c>
      <c r="F32" s="17">
        <f t="shared" si="1"/>
        <v>-135</v>
      </c>
      <c r="G32" s="8" t="s">
        <v>14</v>
      </c>
      <c r="H32" s="17"/>
    </row>
    <row r="33" ht="22.5" customHeight="1">
      <c r="A33" s="4">
        <v>46004.0</v>
      </c>
      <c r="B33" s="5" t="s">
        <v>30</v>
      </c>
      <c r="C33" s="6" t="s">
        <v>312</v>
      </c>
      <c r="D33" s="7">
        <v>-20.0</v>
      </c>
      <c r="E33" s="5" t="s">
        <v>13</v>
      </c>
      <c r="F33" s="17">
        <f t="shared" si="1"/>
        <v>-20</v>
      </c>
      <c r="G33" s="8" t="s">
        <v>16</v>
      </c>
      <c r="H33" s="17"/>
    </row>
    <row r="34" ht="22.5" customHeight="1">
      <c r="A34" s="4">
        <v>46005.0</v>
      </c>
      <c r="B34" s="5" t="s">
        <v>22</v>
      </c>
      <c r="C34" s="27">
        <v>45849.0</v>
      </c>
      <c r="D34" s="7">
        <v>-16.0</v>
      </c>
      <c r="E34" s="5" t="s">
        <v>13</v>
      </c>
      <c r="F34" s="17">
        <f t="shared" si="1"/>
        <v>-16</v>
      </c>
      <c r="G34" s="8" t="s">
        <v>14</v>
      </c>
      <c r="H34" s="17"/>
    </row>
    <row r="35" ht="22.5" customHeight="1">
      <c r="A35" s="4">
        <v>46005.0</v>
      </c>
      <c r="B35" s="5" t="s">
        <v>22</v>
      </c>
      <c r="C35" s="1" t="s">
        <v>313</v>
      </c>
      <c r="D35" s="7">
        <v>-85.0</v>
      </c>
      <c r="E35" s="5" t="s">
        <v>13</v>
      </c>
      <c r="F35" s="17">
        <f t="shared" si="1"/>
        <v>-85</v>
      </c>
      <c r="G35" s="8" t="s">
        <v>14</v>
      </c>
      <c r="H35" s="17"/>
    </row>
    <row r="36" ht="22.5" customHeight="1">
      <c r="A36" s="4">
        <v>46005.0</v>
      </c>
      <c r="B36" s="5" t="s">
        <v>22</v>
      </c>
      <c r="C36" s="6" t="s">
        <v>211</v>
      </c>
      <c r="D36" s="7">
        <v>-84.0</v>
      </c>
      <c r="E36" s="5" t="s">
        <v>13</v>
      </c>
      <c r="F36" s="17">
        <f t="shared" si="1"/>
        <v>-84</v>
      </c>
      <c r="G36" s="8" t="s">
        <v>14</v>
      </c>
      <c r="H36" s="17"/>
    </row>
    <row r="37" ht="22.5" customHeight="1">
      <c r="A37" s="4">
        <v>46005.0</v>
      </c>
      <c r="B37" s="5" t="s">
        <v>30</v>
      </c>
      <c r="C37" s="6" t="s">
        <v>314</v>
      </c>
      <c r="D37" s="7">
        <v>-45.0</v>
      </c>
      <c r="E37" s="5" t="s">
        <v>13</v>
      </c>
      <c r="F37" s="17">
        <f t="shared" si="1"/>
        <v>-45</v>
      </c>
      <c r="G37" s="8" t="s">
        <v>14</v>
      </c>
      <c r="H37" s="17"/>
    </row>
    <row r="38" ht="22.5" customHeight="1">
      <c r="A38" s="4">
        <v>46006.0</v>
      </c>
      <c r="B38" s="5" t="s">
        <v>22</v>
      </c>
      <c r="C38" s="6" t="s">
        <v>27</v>
      </c>
      <c r="D38" s="7">
        <v>-505.0</v>
      </c>
      <c r="E38" s="5" t="s">
        <v>13</v>
      </c>
      <c r="F38" s="17">
        <f t="shared" si="1"/>
        <v>-505</v>
      </c>
      <c r="G38" s="8" t="s">
        <v>14</v>
      </c>
      <c r="H38" s="17"/>
    </row>
    <row r="39" ht="22.5" customHeight="1">
      <c r="A39" s="4">
        <v>46006.0</v>
      </c>
      <c r="B39" s="5" t="s">
        <v>22</v>
      </c>
      <c r="C39" s="6" t="s">
        <v>29</v>
      </c>
      <c r="D39" s="7">
        <v>-2273.0</v>
      </c>
      <c r="E39" s="5" t="s">
        <v>13</v>
      </c>
      <c r="F39" s="17">
        <f t="shared" si="1"/>
        <v>-2273</v>
      </c>
      <c r="G39" s="8" t="s">
        <v>16</v>
      </c>
      <c r="H39" s="17"/>
    </row>
    <row r="40" ht="22.5" customHeight="1">
      <c r="A40" s="4">
        <v>46006.0</v>
      </c>
      <c r="B40" s="5" t="s">
        <v>22</v>
      </c>
      <c r="C40" s="6" t="s">
        <v>27</v>
      </c>
      <c r="D40" s="7">
        <v>-87.0</v>
      </c>
      <c r="E40" s="5" t="s">
        <v>13</v>
      </c>
      <c r="F40" s="17">
        <f t="shared" si="1"/>
        <v>-87</v>
      </c>
      <c r="G40" s="8" t="s">
        <v>14</v>
      </c>
      <c r="H40" s="17"/>
    </row>
    <row r="41" ht="22.5" customHeight="1">
      <c r="A41" s="4">
        <v>46007.0</v>
      </c>
      <c r="B41" s="5" t="s">
        <v>22</v>
      </c>
      <c r="C41" s="6" t="s">
        <v>27</v>
      </c>
      <c r="D41" s="7">
        <v>-149.0</v>
      </c>
      <c r="E41" s="5" t="s">
        <v>13</v>
      </c>
      <c r="F41" s="17">
        <f t="shared" si="1"/>
        <v>-149</v>
      </c>
      <c r="G41" s="8" t="s">
        <v>14</v>
      </c>
      <c r="H41" s="17"/>
    </row>
    <row r="42" ht="22.5" customHeight="1">
      <c r="A42" s="4">
        <v>46007.0</v>
      </c>
      <c r="B42" s="5" t="s">
        <v>22</v>
      </c>
      <c r="C42" s="6" t="s">
        <v>27</v>
      </c>
      <c r="D42" s="7">
        <v>-182.0</v>
      </c>
      <c r="E42" s="5" t="s">
        <v>13</v>
      </c>
      <c r="F42" s="17">
        <f t="shared" si="1"/>
        <v>-182</v>
      </c>
      <c r="G42" s="8" t="s">
        <v>14</v>
      </c>
      <c r="H42" s="17"/>
    </row>
    <row r="43" ht="22.5" customHeight="1">
      <c r="A43" s="4">
        <v>46009.0</v>
      </c>
      <c r="B43" s="5" t="s">
        <v>22</v>
      </c>
      <c r="C43" s="6" t="s">
        <v>27</v>
      </c>
      <c r="D43" s="7">
        <v>-48.0</v>
      </c>
      <c r="E43" s="5" t="s">
        <v>13</v>
      </c>
      <c r="F43" s="17">
        <f t="shared" si="1"/>
        <v>-48</v>
      </c>
      <c r="G43" s="8" t="s">
        <v>14</v>
      </c>
      <c r="H43" s="17"/>
    </row>
    <row r="44" ht="22.5" customHeight="1">
      <c r="A44" s="4">
        <v>46010.0</v>
      </c>
      <c r="B44" s="5" t="s">
        <v>22</v>
      </c>
      <c r="C44" s="6" t="s">
        <v>228</v>
      </c>
      <c r="D44" s="7">
        <v>-330.0</v>
      </c>
      <c r="E44" s="5" t="s">
        <v>13</v>
      </c>
      <c r="F44" s="17">
        <f t="shared" si="1"/>
        <v>-330</v>
      </c>
      <c r="G44" s="8" t="s">
        <v>14</v>
      </c>
      <c r="H44" s="17"/>
    </row>
    <row r="45" ht="22.5" customHeight="1">
      <c r="A45" s="4">
        <v>46010.0</v>
      </c>
      <c r="B45" s="5" t="s">
        <v>17</v>
      </c>
      <c r="C45" s="6" t="s">
        <v>315</v>
      </c>
      <c r="D45" s="7">
        <v>-200.0</v>
      </c>
      <c r="E45" s="5" t="s">
        <v>13</v>
      </c>
      <c r="F45" s="17">
        <f t="shared" si="1"/>
        <v>-200</v>
      </c>
      <c r="G45" s="8" t="s">
        <v>14</v>
      </c>
      <c r="H45" s="17"/>
    </row>
    <row r="46" ht="22.5" customHeight="1">
      <c r="A46" s="4">
        <v>46010.0</v>
      </c>
      <c r="B46" s="5" t="s">
        <v>22</v>
      </c>
      <c r="C46" s="6" t="s">
        <v>40</v>
      </c>
      <c r="D46" s="7">
        <v>-1133.0</v>
      </c>
      <c r="E46" s="5" t="s">
        <v>13</v>
      </c>
      <c r="F46" s="17">
        <f t="shared" si="1"/>
        <v>-1133</v>
      </c>
      <c r="G46" s="8" t="s">
        <v>14</v>
      </c>
      <c r="H46" s="17"/>
    </row>
    <row r="47" ht="22.5" customHeight="1">
      <c r="A47" s="4">
        <v>46011.0</v>
      </c>
      <c r="B47" s="5" t="s">
        <v>22</v>
      </c>
      <c r="C47" s="6" t="s">
        <v>37</v>
      </c>
      <c r="D47" s="7">
        <v>-450.0</v>
      </c>
      <c r="E47" s="5" t="s">
        <v>13</v>
      </c>
      <c r="F47" s="17">
        <f t="shared" si="1"/>
        <v>-450</v>
      </c>
      <c r="G47" s="8" t="s">
        <v>14</v>
      </c>
      <c r="H47" s="17"/>
    </row>
    <row r="48" ht="22.5" customHeight="1">
      <c r="A48" s="4">
        <v>46011.0</v>
      </c>
      <c r="B48" s="5" t="s">
        <v>22</v>
      </c>
      <c r="C48" s="6" t="s">
        <v>211</v>
      </c>
      <c r="D48" s="7">
        <v>-109.0</v>
      </c>
      <c r="E48" s="5" t="s">
        <v>13</v>
      </c>
      <c r="F48" s="17">
        <f t="shared" si="1"/>
        <v>-109</v>
      </c>
      <c r="G48" s="8" t="s">
        <v>14</v>
      </c>
      <c r="H48" s="17"/>
    </row>
    <row r="49" ht="22.5" customHeight="1">
      <c r="A49" s="4">
        <v>46011.0</v>
      </c>
      <c r="B49" s="5" t="s">
        <v>30</v>
      </c>
      <c r="C49" s="6" t="s">
        <v>281</v>
      </c>
      <c r="D49" s="7">
        <v>-100.0</v>
      </c>
      <c r="E49" s="5" t="s">
        <v>13</v>
      </c>
      <c r="F49" s="17">
        <f t="shared" si="1"/>
        <v>-100</v>
      </c>
      <c r="G49" s="8" t="s">
        <v>14</v>
      </c>
      <c r="H49" s="17"/>
    </row>
    <row r="50" ht="22.5" customHeight="1">
      <c r="A50" s="4">
        <v>46012.0</v>
      </c>
      <c r="B50" s="5" t="s">
        <v>22</v>
      </c>
      <c r="C50" s="6" t="s">
        <v>27</v>
      </c>
      <c r="D50" s="7">
        <v>-252.0</v>
      </c>
      <c r="E50" s="5" t="s">
        <v>13</v>
      </c>
      <c r="F50" s="17">
        <f t="shared" si="1"/>
        <v>-252</v>
      </c>
      <c r="G50" s="8" t="s">
        <v>14</v>
      </c>
      <c r="H50" s="17"/>
    </row>
    <row r="51" ht="22.5" customHeight="1">
      <c r="A51" s="4">
        <v>46012.0</v>
      </c>
      <c r="B51" s="5" t="s">
        <v>17</v>
      </c>
      <c r="C51" s="6" t="s">
        <v>98</v>
      </c>
      <c r="D51" s="7">
        <v>-440.0</v>
      </c>
      <c r="E51" s="5" t="s">
        <v>13</v>
      </c>
      <c r="F51" s="17">
        <f t="shared" si="1"/>
        <v>-440</v>
      </c>
      <c r="G51" s="8" t="s">
        <v>16</v>
      </c>
      <c r="H51" s="17"/>
    </row>
    <row r="52" ht="22.5" customHeight="1">
      <c r="A52" s="4">
        <v>46012.0</v>
      </c>
      <c r="B52" s="5" t="s">
        <v>30</v>
      </c>
      <c r="C52" s="6" t="s">
        <v>31</v>
      </c>
      <c r="D52" s="7">
        <v>-20.0</v>
      </c>
      <c r="E52" s="5" t="s">
        <v>13</v>
      </c>
      <c r="F52" s="17">
        <f t="shared" si="1"/>
        <v>-20</v>
      </c>
      <c r="G52" s="8" t="s">
        <v>16</v>
      </c>
      <c r="H52" s="17"/>
    </row>
    <row r="53" ht="22.5" customHeight="1">
      <c r="A53" s="4">
        <v>46012.0</v>
      </c>
      <c r="B53" s="5" t="s">
        <v>22</v>
      </c>
      <c r="C53" s="6" t="s">
        <v>211</v>
      </c>
      <c r="D53" s="7">
        <v>-162.0</v>
      </c>
      <c r="E53" s="5" t="s">
        <v>13</v>
      </c>
      <c r="F53" s="17">
        <f t="shared" si="1"/>
        <v>-162</v>
      </c>
      <c r="G53" s="8" t="s">
        <v>14</v>
      </c>
      <c r="H53" s="17"/>
    </row>
    <row r="54" ht="22.5" customHeight="1">
      <c r="A54" s="4">
        <v>46013.0</v>
      </c>
      <c r="B54" s="5" t="s">
        <v>22</v>
      </c>
      <c r="C54" s="6" t="s">
        <v>211</v>
      </c>
      <c r="D54" s="7">
        <v>-144.0</v>
      </c>
      <c r="E54" s="5" t="s">
        <v>13</v>
      </c>
      <c r="F54" s="17">
        <f t="shared" si="1"/>
        <v>-144</v>
      </c>
      <c r="G54" s="8" t="s">
        <v>14</v>
      </c>
      <c r="H54" s="17"/>
    </row>
    <row r="55" ht="22.5" customHeight="1">
      <c r="A55" s="4">
        <v>46014.0</v>
      </c>
      <c r="B55" s="5" t="s">
        <v>22</v>
      </c>
      <c r="C55" s="6" t="s">
        <v>166</v>
      </c>
      <c r="D55" s="7">
        <v>-73.0</v>
      </c>
      <c r="E55" s="5" t="s">
        <v>13</v>
      </c>
      <c r="F55" s="17">
        <f t="shared" si="1"/>
        <v>-73</v>
      </c>
      <c r="G55" s="8" t="s">
        <v>14</v>
      </c>
      <c r="H55" s="17"/>
    </row>
    <row r="56" ht="22.5" customHeight="1">
      <c r="A56" s="4">
        <v>46012.0</v>
      </c>
      <c r="B56" s="5" t="s">
        <v>22</v>
      </c>
      <c r="C56" s="6" t="s">
        <v>211</v>
      </c>
      <c r="D56" s="7">
        <v>-162.0</v>
      </c>
      <c r="E56" s="5" t="s">
        <v>13</v>
      </c>
      <c r="F56" s="17">
        <f t="shared" si="1"/>
        <v>-162</v>
      </c>
      <c r="G56" s="8" t="s">
        <v>14</v>
      </c>
      <c r="H56" s="17"/>
    </row>
    <row r="57" ht="22.5" customHeight="1">
      <c r="A57" s="4">
        <v>46012.0</v>
      </c>
      <c r="B57" s="5" t="s">
        <v>22</v>
      </c>
      <c r="C57" s="6" t="s">
        <v>27</v>
      </c>
      <c r="D57" s="7">
        <v>-252.0</v>
      </c>
      <c r="E57" s="5" t="s">
        <v>13</v>
      </c>
      <c r="F57" s="17">
        <f t="shared" si="1"/>
        <v>-252</v>
      </c>
      <c r="G57" s="8" t="s">
        <v>14</v>
      </c>
      <c r="H57" s="17"/>
    </row>
    <row r="58" ht="22.5" customHeight="1">
      <c r="A58" s="4">
        <v>46015.0</v>
      </c>
      <c r="B58" s="5" t="s">
        <v>17</v>
      </c>
      <c r="C58" s="6" t="s">
        <v>296</v>
      </c>
      <c r="D58" s="7">
        <v>-400.0</v>
      </c>
      <c r="E58" s="5" t="s">
        <v>13</v>
      </c>
      <c r="F58" s="17">
        <f t="shared" si="1"/>
        <v>-400</v>
      </c>
      <c r="G58" s="8" t="s">
        <v>14</v>
      </c>
      <c r="H58" s="17"/>
    </row>
    <row r="59" ht="22.5" customHeight="1">
      <c r="A59" s="4">
        <v>46015.0</v>
      </c>
      <c r="B59" s="5" t="s">
        <v>17</v>
      </c>
      <c r="C59" s="6" t="s">
        <v>66</v>
      </c>
      <c r="D59" s="7">
        <v>-260.0</v>
      </c>
      <c r="E59" s="5" t="s">
        <v>13</v>
      </c>
      <c r="F59" s="17">
        <f t="shared" si="1"/>
        <v>-260</v>
      </c>
      <c r="G59" s="8" t="s">
        <v>14</v>
      </c>
      <c r="H59" s="17"/>
    </row>
    <row r="60" ht="22.5" customHeight="1">
      <c r="A60" s="4">
        <v>46015.0</v>
      </c>
      <c r="B60" s="5" t="s">
        <v>22</v>
      </c>
      <c r="C60" s="27">
        <v>45849.0</v>
      </c>
      <c r="D60" s="7">
        <v>-117.0</v>
      </c>
      <c r="E60" s="5" t="s">
        <v>13</v>
      </c>
      <c r="F60" s="17">
        <f t="shared" si="1"/>
        <v>-117</v>
      </c>
      <c r="G60" s="8" t="s">
        <v>14</v>
      </c>
      <c r="H60" s="17"/>
    </row>
    <row r="61" ht="22.5" customHeight="1">
      <c r="A61" s="4">
        <v>46016.0</v>
      </c>
      <c r="B61" s="5" t="s">
        <v>22</v>
      </c>
      <c r="C61" s="27">
        <v>45849.0</v>
      </c>
      <c r="D61" s="7">
        <v>-99.0</v>
      </c>
      <c r="E61" s="5" t="s">
        <v>13</v>
      </c>
      <c r="F61" s="17">
        <f t="shared" si="1"/>
        <v>-99</v>
      </c>
      <c r="G61" s="8" t="s">
        <v>14</v>
      </c>
      <c r="H61" s="17"/>
    </row>
    <row r="62" ht="22.5" customHeight="1">
      <c r="A62" s="4">
        <v>46016.0</v>
      </c>
      <c r="B62" s="5" t="s">
        <v>22</v>
      </c>
      <c r="C62" s="6" t="s">
        <v>316</v>
      </c>
      <c r="D62" s="7">
        <v>-270.0</v>
      </c>
      <c r="E62" s="5" t="s">
        <v>13</v>
      </c>
      <c r="F62" s="17">
        <f t="shared" si="1"/>
        <v>-270</v>
      </c>
      <c r="G62" s="8" t="s">
        <v>14</v>
      </c>
      <c r="H62" s="17"/>
    </row>
    <row r="63" ht="22.5" customHeight="1">
      <c r="A63" s="4">
        <v>46016.0</v>
      </c>
      <c r="B63" s="5" t="s">
        <v>22</v>
      </c>
      <c r="C63" s="6" t="s">
        <v>317</v>
      </c>
      <c r="D63" s="7">
        <v>-660.0</v>
      </c>
      <c r="E63" s="5" t="s">
        <v>13</v>
      </c>
      <c r="F63" s="17">
        <f t="shared" si="1"/>
        <v>-660</v>
      </c>
      <c r="G63" s="8" t="s">
        <v>14</v>
      </c>
      <c r="H63" s="17"/>
    </row>
    <row r="64" ht="22.5" customHeight="1">
      <c r="A64" s="4">
        <v>46016.0</v>
      </c>
      <c r="B64" s="5" t="s">
        <v>22</v>
      </c>
      <c r="C64" s="6" t="s">
        <v>318</v>
      </c>
      <c r="D64" s="7">
        <v>-1195.0</v>
      </c>
      <c r="E64" s="5" t="s">
        <v>13</v>
      </c>
      <c r="F64" s="17">
        <f t="shared" si="1"/>
        <v>-1195</v>
      </c>
      <c r="G64" s="8" t="s">
        <v>14</v>
      </c>
      <c r="H64" s="17"/>
    </row>
    <row r="65" ht="22.5" customHeight="1">
      <c r="A65" s="4">
        <v>46017.0</v>
      </c>
      <c r="B65" s="5" t="s">
        <v>22</v>
      </c>
      <c r="C65" s="6" t="s">
        <v>57</v>
      </c>
      <c r="D65" s="7">
        <v>-140.0</v>
      </c>
      <c r="E65" s="5" t="s">
        <v>13</v>
      </c>
      <c r="F65" s="17">
        <f t="shared" si="1"/>
        <v>-140</v>
      </c>
      <c r="G65" s="8" t="s">
        <v>14</v>
      </c>
      <c r="H65" s="17"/>
    </row>
    <row r="66" ht="22.5" customHeight="1">
      <c r="A66" s="4">
        <v>46017.0</v>
      </c>
      <c r="B66" s="5" t="s">
        <v>22</v>
      </c>
      <c r="C66" s="6" t="s">
        <v>40</v>
      </c>
      <c r="D66" s="7">
        <v>-110.0</v>
      </c>
      <c r="E66" s="5" t="s">
        <v>13</v>
      </c>
      <c r="F66" s="17">
        <f t="shared" si="1"/>
        <v>-110</v>
      </c>
      <c r="G66" s="8" t="s">
        <v>14</v>
      </c>
      <c r="H66" s="17"/>
    </row>
    <row r="67" ht="22.5" customHeight="1">
      <c r="A67" s="4">
        <v>46019.0</v>
      </c>
      <c r="B67" s="5" t="s">
        <v>22</v>
      </c>
      <c r="C67" s="6" t="s">
        <v>319</v>
      </c>
      <c r="D67" s="7">
        <v>-192.0</v>
      </c>
      <c r="E67" s="5" t="s">
        <v>13</v>
      </c>
      <c r="F67" s="17">
        <f t="shared" si="1"/>
        <v>-192</v>
      </c>
      <c r="G67" s="8" t="s">
        <v>14</v>
      </c>
      <c r="H67" s="17"/>
    </row>
    <row r="68" ht="22.5" customHeight="1">
      <c r="A68" s="4">
        <v>46019.0</v>
      </c>
      <c r="B68" s="5" t="s">
        <v>22</v>
      </c>
      <c r="C68" s="6" t="s">
        <v>320</v>
      </c>
      <c r="D68" s="7">
        <v>-212.0</v>
      </c>
      <c r="E68" s="5" t="s">
        <v>13</v>
      </c>
      <c r="F68" s="17">
        <f t="shared" si="1"/>
        <v>-212</v>
      </c>
      <c r="G68" s="8" t="s">
        <v>14</v>
      </c>
      <c r="H68" s="17"/>
    </row>
    <row r="69" ht="22.5" customHeight="1">
      <c r="A69" s="4">
        <v>46020.0</v>
      </c>
      <c r="B69" s="5" t="s">
        <v>30</v>
      </c>
      <c r="C69" s="6" t="s">
        <v>321</v>
      </c>
      <c r="D69" s="7">
        <v>-709.0</v>
      </c>
      <c r="E69" s="5" t="s">
        <v>13</v>
      </c>
      <c r="F69" s="17">
        <f t="shared" si="1"/>
        <v>-709</v>
      </c>
      <c r="G69" s="8" t="s">
        <v>14</v>
      </c>
      <c r="H69" s="17"/>
    </row>
    <row r="70" ht="22.5" customHeight="1">
      <c r="A70" s="4">
        <v>46020.0</v>
      </c>
      <c r="B70" s="5" t="s">
        <v>30</v>
      </c>
      <c r="C70" s="6" t="s">
        <v>168</v>
      </c>
      <c r="D70" s="7">
        <v>-30.0</v>
      </c>
      <c r="E70" s="5" t="s">
        <v>13</v>
      </c>
      <c r="F70" s="17">
        <f t="shared" si="1"/>
        <v>-30</v>
      </c>
      <c r="G70" s="8" t="s">
        <v>14</v>
      </c>
      <c r="H70" s="17"/>
    </row>
    <row r="71" ht="22.5" customHeight="1">
      <c r="A71" s="4">
        <v>46020.0</v>
      </c>
      <c r="B71" s="5" t="s">
        <v>22</v>
      </c>
      <c r="C71" s="6" t="s">
        <v>322</v>
      </c>
      <c r="D71" s="7">
        <v>-200.0</v>
      </c>
      <c r="E71" s="5" t="s">
        <v>13</v>
      </c>
      <c r="F71" s="17">
        <f t="shared" si="1"/>
        <v>-200</v>
      </c>
      <c r="G71" s="8" t="s">
        <v>14</v>
      </c>
      <c r="H71" s="17"/>
    </row>
    <row r="72" ht="22.5" customHeight="1">
      <c r="A72" s="4">
        <v>46021.0</v>
      </c>
      <c r="B72" s="5" t="s">
        <v>22</v>
      </c>
      <c r="C72" s="6" t="s">
        <v>323</v>
      </c>
      <c r="D72" s="7">
        <v>-60.0</v>
      </c>
      <c r="E72" s="5" t="s">
        <v>13</v>
      </c>
      <c r="F72" s="17">
        <f t="shared" si="1"/>
        <v>-60</v>
      </c>
      <c r="G72" s="8" t="s">
        <v>14</v>
      </c>
      <c r="H72" s="17"/>
    </row>
    <row r="73" ht="22.5" customHeight="1">
      <c r="A73" s="4">
        <v>46021.0</v>
      </c>
      <c r="B73" s="5" t="s">
        <v>22</v>
      </c>
      <c r="C73" s="6" t="s">
        <v>324</v>
      </c>
      <c r="D73" s="7">
        <v>-300.0</v>
      </c>
      <c r="E73" s="5" t="s">
        <v>13</v>
      </c>
      <c r="F73" s="17">
        <f t="shared" si="1"/>
        <v>-300</v>
      </c>
      <c r="G73" s="8" t="s">
        <v>14</v>
      </c>
      <c r="H73" s="17"/>
    </row>
    <row r="74" ht="22.5" customHeight="1">
      <c r="A74" s="4">
        <v>46021.0</v>
      </c>
      <c r="B74" s="5" t="s">
        <v>22</v>
      </c>
      <c r="C74" s="6" t="s">
        <v>325</v>
      </c>
      <c r="D74" s="7">
        <v>-100.0</v>
      </c>
      <c r="E74" s="5" t="s">
        <v>13</v>
      </c>
      <c r="F74" s="17">
        <f t="shared" si="1"/>
        <v>-100</v>
      </c>
      <c r="G74" s="8" t="s">
        <v>14</v>
      </c>
      <c r="H74" s="17"/>
    </row>
    <row r="75" ht="22.5" customHeight="1">
      <c r="A75" s="4">
        <v>46021.0</v>
      </c>
      <c r="B75" s="5" t="s">
        <v>22</v>
      </c>
      <c r="C75" s="6" t="s">
        <v>76</v>
      </c>
      <c r="D75" s="7">
        <v>-144.0</v>
      </c>
      <c r="E75" s="5" t="s">
        <v>13</v>
      </c>
      <c r="F75" s="17">
        <f t="shared" si="1"/>
        <v>-144</v>
      </c>
      <c r="G75" s="8" t="s">
        <v>14</v>
      </c>
      <c r="H75" s="17"/>
    </row>
    <row r="76" ht="22.5" customHeight="1">
      <c r="A76" s="4">
        <v>46022.0</v>
      </c>
      <c r="B76" s="5" t="s">
        <v>17</v>
      </c>
      <c r="C76" s="6" t="s">
        <v>326</v>
      </c>
      <c r="D76" s="7">
        <v>-500.0</v>
      </c>
      <c r="E76" s="5" t="s">
        <v>13</v>
      </c>
      <c r="F76" s="17">
        <f t="shared" si="1"/>
        <v>-500</v>
      </c>
      <c r="G76" s="8" t="s">
        <v>14</v>
      </c>
      <c r="H76" s="17"/>
    </row>
    <row r="77" ht="22.5" customHeight="1">
      <c r="A77" s="4">
        <v>46022.0</v>
      </c>
      <c r="B77" s="5" t="s">
        <v>50</v>
      </c>
      <c r="C77" s="6" t="s">
        <v>327</v>
      </c>
      <c r="D77" s="7">
        <v>-250.0</v>
      </c>
      <c r="E77" s="5" t="s">
        <v>13</v>
      </c>
      <c r="F77" s="17">
        <f t="shared" si="1"/>
        <v>-250</v>
      </c>
      <c r="G77" s="8" t="s">
        <v>14</v>
      </c>
      <c r="H77" s="17"/>
    </row>
    <row r="78" ht="22.5" customHeight="1">
      <c r="A78" s="4">
        <v>46022.0</v>
      </c>
      <c r="B78" s="5" t="s">
        <v>22</v>
      </c>
      <c r="C78" s="6" t="s">
        <v>328</v>
      </c>
      <c r="D78" s="7">
        <v>-130.0</v>
      </c>
      <c r="E78" s="5" t="s">
        <v>13</v>
      </c>
      <c r="F78" s="17">
        <f t="shared" si="1"/>
        <v>-130</v>
      </c>
      <c r="G78" s="8" t="s">
        <v>14</v>
      </c>
      <c r="H78" s="17"/>
    </row>
    <row r="79" ht="22.5" customHeight="1">
      <c r="A79" s="4">
        <v>46022.0</v>
      </c>
      <c r="B79" s="5" t="s">
        <v>22</v>
      </c>
      <c r="C79" s="6" t="s">
        <v>329</v>
      </c>
      <c r="D79" s="7">
        <v>-500.0</v>
      </c>
      <c r="E79" s="5" t="s">
        <v>13</v>
      </c>
      <c r="F79" s="17">
        <f t="shared" si="1"/>
        <v>-500</v>
      </c>
      <c r="G79" s="8" t="s">
        <v>14</v>
      </c>
      <c r="H79" s="17"/>
    </row>
    <row r="80" ht="22.5" customHeight="1">
      <c r="A80" s="4">
        <v>46022.0</v>
      </c>
      <c r="B80" s="5" t="s">
        <v>22</v>
      </c>
      <c r="C80" s="6" t="s">
        <v>330</v>
      </c>
      <c r="D80" s="7">
        <v>-559.0</v>
      </c>
      <c r="E80" s="5" t="s">
        <v>13</v>
      </c>
      <c r="F80" s="17">
        <f t="shared" si="1"/>
        <v>-559</v>
      </c>
      <c r="G80" s="8" t="s">
        <v>14</v>
      </c>
      <c r="H80" s="17"/>
    </row>
    <row r="81" ht="22.5" customHeight="1">
      <c r="A81" s="4">
        <v>46022.0</v>
      </c>
      <c r="B81" s="5" t="s">
        <v>22</v>
      </c>
      <c r="C81" s="27">
        <v>45849.0</v>
      </c>
      <c r="D81" s="7">
        <v>-127.0</v>
      </c>
      <c r="E81" s="5" t="s">
        <v>13</v>
      </c>
      <c r="F81" s="17">
        <f t="shared" si="1"/>
        <v>-127</v>
      </c>
      <c r="G81" s="8" t="s">
        <v>14</v>
      </c>
      <c r="H81" s="17"/>
    </row>
    <row r="82" ht="22.5" customHeight="1">
      <c r="A82" s="4">
        <v>46022.0</v>
      </c>
      <c r="B82" s="5" t="s">
        <v>22</v>
      </c>
      <c r="C82" s="6" t="s">
        <v>277</v>
      </c>
      <c r="D82" s="7">
        <v>-109.0</v>
      </c>
      <c r="E82" s="5" t="s">
        <v>13</v>
      </c>
      <c r="F82" s="17">
        <f t="shared" si="1"/>
        <v>-109</v>
      </c>
      <c r="G82" s="8" t="s">
        <v>14</v>
      </c>
      <c r="H82" s="17"/>
    </row>
    <row r="83" ht="22.5" customHeight="1">
      <c r="A83" s="4">
        <v>46022.0</v>
      </c>
      <c r="B83" s="5" t="s">
        <v>22</v>
      </c>
      <c r="C83" s="6" t="s">
        <v>331</v>
      </c>
      <c r="D83" s="7">
        <v>-500.0</v>
      </c>
      <c r="E83" s="5" t="s">
        <v>13</v>
      </c>
      <c r="F83" s="17">
        <f t="shared" si="1"/>
        <v>-500</v>
      </c>
      <c r="G83" s="8" t="s">
        <v>14</v>
      </c>
      <c r="H83" s="17"/>
    </row>
    <row r="84" ht="22.5" customHeight="1">
      <c r="A84" s="4">
        <v>46022.0</v>
      </c>
      <c r="B84" s="5" t="s">
        <v>58</v>
      </c>
      <c r="C84" s="6" t="s">
        <v>332</v>
      </c>
      <c r="D84" s="7">
        <v>-1509.0</v>
      </c>
      <c r="E84" s="5" t="s">
        <v>13</v>
      </c>
      <c r="F84" s="17">
        <f t="shared" si="1"/>
        <v>-1509</v>
      </c>
      <c r="G84" s="8" t="s">
        <v>14</v>
      </c>
      <c r="H84" s="17"/>
    </row>
    <row r="85" ht="22.5" customHeight="1">
      <c r="A85" s="4">
        <v>46022.0</v>
      </c>
      <c r="B85" s="5" t="s">
        <v>22</v>
      </c>
      <c r="C85" s="6" t="s">
        <v>66</v>
      </c>
      <c r="D85" s="7">
        <v>-940.0</v>
      </c>
      <c r="E85" s="5" t="s">
        <v>13</v>
      </c>
      <c r="F85" s="17">
        <f t="shared" si="1"/>
        <v>-940</v>
      </c>
      <c r="G85" s="8" t="s">
        <v>14</v>
      </c>
      <c r="H85" s="17"/>
    </row>
    <row r="86" ht="22.5" customHeight="1">
      <c r="A86" s="4"/>
      <c r="D86" s="7"/>
      <c r="E86" s="31"/>
      <c r="F86" s="17">
        <f>SUM(July_6[TWD])</f>
        <v>-17406</v>
      </c>
      <c r="G86" s="26"/>
      <c r="H86" s="26"/>
    </row>
    <row r="87">
      <c r="A87" s="46"/>
      <c r="D87" s="47"/>
      <c r="E87" s="38"/>
      <c r="F87" s="42"/>
      <c r="G87" s="41"/>
      <c r="H87" s="41"/>
    </row>
    <row r="88">
      <c r="A88" s="46"/>
      <c r="D88" s="47"/>
      <c r="E88" s="38"/>
      <c r="F88" s="42"/>
      <c r="G88" s="41"/>
      <c r="H88" s="41"/>
    </row>
    <row r="89">
      <c r="A89" s="46"/>
      <c r="D89" s="47"/>
      <c r="E89" s="38"/>
      <c r="F89" s="42"/>
      <c r="G89" s="41"/>
      <c r="H89" s="41"/>
    </row>
    <row r="90">
      <c r="A90" s="46"/>
      <c r="D90" s="47"/>
      <c r="E90" s="38"/>
      <c r="F90" s="42"/>
      <c r="G90" s="41"/>
      <c r="H90" s="41"/>
    </row>
    <row r="91">
      <c r="A91" s="46"/>
      <c r="D91" s="47"/>
      <c r="E91" s="38"/>
      <c r="F91" s="42"/>
      <c r="G91" s="41"/>
      <c r="H91" s="41"/>
    </row>
    <row r="92">
      <c r="A92" s="46"/>
      <c r="D92" s="47"/>
      <c r="E92" s="38"/>
      <c r="F92" s="42"/>
      <c r="G92" s="41"/>
      <c r="H92" s="41"/>
    </row>
    <row r="93">
      <c r="A93" s="46"/>
      <c r="D93" s="47"/>
      <c r="E93" s="38"/>
      <c r="F93" s="42"/>
      <c r="G93" s="41"/>
      <c r="H93" s="41"/>
    </row>
    <row r="94">
      <c r="A94" s="46"/>
      <c r="D94" s="47"/>
      <c r="F94" s="42"/>
    </row>
    <row r="95">
      <c r="A95" s="46"/>
      <c r="D95" s="47"/>
      <c r="F95" s="42"/>
    </row>
    <row r="96">
      <c r="A96" s="46"/>
      <c r="D96" s="47"/>
      <c r="F96" s="42"/>
    </row>
    <row r="97">
      <c r="A97" s="46"/>
      <c r="D97" s="47"/>
      <c r="F97" s="42"/>
    </row>
    <row r="98">
      <c r="A98" s="46"/>
      <c r="D98" s="47"/>
      <c r="F98" s="42"/>
    </row>
    <row r="99">
      <c r="A99" s="46"/>
      <c r="D99" s="47"/>
      <c r="F99" s="42"/>
    </row>
    <row r="100">
      <c r="A100" s="46"/>
      <c r="D100" s="47"/>
      <c r="F100" s="42"/>
    </row>
    <row r="101">
      <c r="A101" s="46"/>
      <c r="D101" s="47"/>
      <c r="F101" s="42"/>
    </row>
    <row r="102">
      <c r="A102" s="46"/>
      <c r="D102" s="47"/>
      <c r="F102" s="42"/>
    </row>
    <row r="103">
      <c r="A103" s="46"/>
      <c r="D103" s="47"/>
      <c r="F103" s="42"/>
    </row>
    <row r="104">
      <c r="A104" s="46"/>
      <c r="D104" s="47"/>
      <c r="F104" s="42"/>
    </row>
    <row r="105">
      <c r="A105" s="46"/>
      <c r="D105" s="47"/>
      <c r="F105" s="42"/>
    </row>
    <row r="106">
      <c r="A106" s="46"/>
      <c r="D106" s="47"/>
      <c r="F106" s="42"/>
    </row>
    <row r="107">
      <c r="A107" s="46"/>
      <c r="D107" s="47"/>
      <c r="F107" s="42"/>
    </row>
    <row r="108">
      <c r="A108" s="46"/>
      <c r="D108" s="47"/>
      <c r="F108" s="42"/>
    </row>
    <row r="109">
      <c r="A109" s="46"/>
      <c r="D109" s="47"/>
      <c r="F109" s="42"/>
    </row>
    <row r="110">
      <c r="A110" s="46"/>
      <c r="D110" s="47"/>
      <c r="F110" s="42"/>
    </row>
    <row r="111">
      <c r="A111" s="46"/>
      <c r="D111" s="47"/>
      <c r="F111" s="42"/>
    </row>
    <row r="112">
      <c r="A112" s="46"/>
      <c r="D112" s="47"/>
      <c r="F112" s="42"/>
    </row>
    <row r="113">
      <c r="A113" s="46"/>
      <c r="D113" s="47"/>
      <c r="F113" s="42"/>
    </row>
    <row r="114">
      <c r="A114" s="46"/>
      <c r="D114" s="47"/>
      <c r="F114" s="42"/>
    </row>
    <row r="115">
      <c r="A115" s="46"/>
      <c r="D115" s="47"/>
      <c r="F115" s="42"/>
    </row>
    <row r="116">
      <c r="A116" s="46"/>
      <c r="D116" s="47"/>
      <c r="F116" s="42"/>
    </row>
    <row r="117">
      <c r="A117" s="46"/>
      <c r="D117" s="47"/>
      <c r="F117" s="42"/>
    </row>
    <row r="118">
      <c r="A118" s="46"/>
      <c r="D118" s="47"/>
      <c r="F118" s="42"/>
    </row>
    <row r="119">
      <c r="A119" s="46"/>
      <c r="D119" s="47"/>
      <c r="F119" s="42"/>
    </row>
    <row r="120">
      <c r="A120" s="46"/>
      <c r="D120" s="47"/>
      <c r="F120" s="42"/>
    </row>
    <row r="121">
      <c r="A121" s="46"/>
      <c r="D121" s="47"/>
      <c r="F121" s="42"/>
    </row>
    <row r="122">
      <c r="A122" s="46"/>
      <c r="D122" s="47"/>
      <c r="F122" s="42"/>
    </row>
    <row r="123">
      <c r="A123" s="46"/>
      <c r="D123" s="47"/>
      <c r="F123" s="42"/>
    </row>
    <row r="124">
      <c r="A124" s="46"/>
      <c r="D124" s="47"/>
      <c r="F124" s="42"/>
    </row>
    <row r="125">
      <c r="A125" s="46"/>
      <c r="D125" s="47"/>
      <c r="F125" s="42"/>
    </row>
    <row r="126">
      <c r="A126" s="46"/>
      <c r="D126" s="47"/>
      <c r="F126" s="42"/>
    </row>
    <row r="127">
      <c r="A127" s="46"/>
      <c r="D127" s="47"/>
      <c r="F127" s="42"/>
    </row>
    <row r="128">
      <c r="A128" s="46"/>
      <c r="D128" s="47"/>
      <c r="F128" s="42"/>
    </row>
    <row r="129">
      <c r="A129" s="46"/>
      <c r="D129" s="47"/>
      <c r="F129" s="42"/>
    </row>
    <row r="130">
      <c r="A130" s="46"/>
      <c r="D130" s="47"/>
      <c r="F130" s="42"/>
    </row>
    <row r="131">
      <c r="A131" s="46"/>
      <c r="D131" s="47"/>
      <c r="F131" s="42"/>
    </row>
    <row r="132">
      <c r="A132" s="46"/>
      <c r="D132" s="47"/>
      <c r="F132" s="42"/>
    </row>
    <row r="133">
      <c r="A133" s="46"/>
      <c r="D133" s="47"/>
      <c r="F133" s="42"/>
    </row>
    <row r="134">
      <c r="A134" s="46"/>
      <c r="D134" s="47"/>
      <c r="F134" s="42"/>
    </row>
    <row r="135">
      <c r="A135" s="46"/>
      <c r="D135" s="47"/>
      <c r="F135" s="42"/>
    </row>
    <row r="136">
      <c r="A136" s="46"/>
      <c r="D136" s="47"/>
      <c r="F136" s="42"/>
    </row>
    <row r="137">
      <c r="A137" s="46"/>
      <c r="D137" s="47"/>
      <c r="F137" s="42"/>
    </row>
    <row r="138">
      <c r="A138" s="46"/>
      <c r="D138" s="47"/>
      <c r="F138" s="42"/>
    </row>
    <row r="139">
      <c r="A139" s="46"/>
      <c r="D139" s="47"/>
      <c r="F139" s="42"/>
    </row>
    <row r="140">
      <c r="A140" s="46"/>
      <c r="D140" s="47"/>
      <c r="F140" s="42"/>
    </row>
    <row r="141">
      <c r="A141" s="46"/>
      <c r="D141" s="47"/>
      <c r="F141" s="42"/>
    </row>
    <row r="142">
      <c r="F142" s="42"/>
    </row>
    <row r="143">
      <c r="F143" s="42"/>
    </row>
    <row r="144">
      <c r="F144" s="42"/>
    </row>
    <row r="145">
      <c r="F145" s="42"/>
    </row>
    <row r="146">
      <c r="F146" s="42"/>
    </row>
    <row r="147">
      <c r="F147" s="42"/>
    </row>
    <row r="148">
      <c r="F148" s="42"/>
    </row>
    <row r="149">
      <c r="F149" s="42"/>
    </row>
    <row r="150">
      <c r="F150" s="42"/>
    </row>
    <row r="151">
      <c r="F151" s="42"/>
    </row>
    <row r="152">
      <c r="F152" s="42"/>
    </row>
    <row r="153">
      <c r="F153" s="42"/>
    </row>
    <row r="154">
      <c r="F154" s="42"/>
    </row>
    <row r="155">
      <c r="F155" s="42"/>
    </row>
    <row r="156">
      <c r="F156" s="42"/>
    </row>
    <row r="157">
      <c r="F157" s="42"/>
    </row>
    <row r="158">
      <c r="F158" s="42"/>
    </row>
    <row r="159">
      <c r="F159" s="42"/>
    </row>
    <row r="160">
      <c r="F160" s="42"/>
    </row>
    <row r="161">
      <c r="F161" s="42"/>
    </row>
  </sheetData>
  <dataValidations>
    <dataValidation type="list" allowBlank="1" sqref="B2:B85">
      <formula1>"Income,Trasportation,Accommdation,Others,Food,Entertainment "</formula1>
    </dataValidation>
    <dataValidation type="list" allowBlank="1" sqref="E2:E85">
      <formula1>"AUD,TWD,Yen"</formula1>
    </dataValidation>
    <dataValidation type="custom" allowBlank="1" showDropDown="1" sqref="A2:A85">
      <formula1>OR(NOT(ISERROR(DATEVALUE(A2))), AND(ISNUMBER(A2), LEFT(CELL("format", A2))="D"))</formula1>
    </dataValidation>
    <dataValidation type="custom" allowBlank="1" showDropDown="1" sqref="D2:D85">
      <formula1>AND(ISNUMBER(D2),(NOT(OR(NOT(ISERROR(DATEVALUE(D2))), AND(ISNUMBER(D2), LEFT(CELL("format", D2))="D")))))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</hyperlinks>
  <drawing r:id="rId85"/>
  <tableParts count="1">
    <tablePart r:id="rId87"/>
  </tableParts>
</worksheet>
</file>